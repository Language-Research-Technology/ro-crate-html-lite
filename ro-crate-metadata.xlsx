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otDataset" sheetId="1" r:id="rId5"/>
    <sheet state="visible" name="@context" sheetId="2" r:id="rId6"/>
    <sheet state="visible" name="License" sheetId="3" r:id="rId7"/>
    <sheet state="visible" name="Orgs_People" sheetId="4" r:id="rId8"/>
    <sheet state="visible" name="Objects" sheetId="5" r:id="rId9"/>
    <sheet state="visible" name="Notebooks" sheetId="6" r:id="rId10"/>
    <sheet state="visible" name="Collections" sheetId="7" r:id="rId11"/>
  </sheets>
  <definedNames>
    <definedName hidden="1" localSheetId="4" name="_xlnm._FilterDatabase">Objects!$A$1:$Y$34</definedName>
  </definedNames>
  <calcPr/>
</workbook>
</file>

<file path=xl/sharedStrings.xml><?xml version="1.0" encoding="utf-8"?>
<sst xmlns="http://schemas.openxmlformats.org/spreadsheetml/2006/main" count="559" uniqueCount="310">
  <si>
    <t>Name</t>
  </si>
  <si>
    <t>Value</t>
  </si>
  <si>
    <t>@id</t>
  </si>
  <si>
    <t>./</t>
  </si>
  <si>
    <t>@type</t>
  </si>
  <si>
    <t>[Dataset, RepositoryCollection]</t>
  </si>
  <si>
    <t>name</t>
  </si>
  <si>
    <t>LDaCA Tools Catalogue</t>
  </si>
  <si>
    <t>description</t>
  </si>
  <si>
    <t>This is a collection listing all the LDaCA tools.</t>
  </si>
  <si>
    <t>ldac:doi</t>
  </si>
  <si>
    <t>isRef_author</t>
  </si>
  <si>
    <t>isRef_publisher</t>
  </si>
  <si>
    <t>https://ror.org/00rqy9422</t>
  </si>
  <si>
    <t>isRef_license</t>
  </si>
  <si>
    <t>datePublished</t>
  </si>
  <si>
    <t>inLanguage</t>
  </si>
  <si>
    <t>English</t>
  </si>
  <si>
    <t>ldac:metadataIsPublic</t>
  </si>
  <si>
    <t>ldac</t>
  </si>
  <si>
    <t>https://w3id.org/ldac/terms#</t>
  </si>
  <si>
    <t>custom</t>
  </si>
  <si>
    <t>arcp://name,custom/terms#</t>
  </si>
  <si>
    <t>ldac:allowTextIndex</t>
  </si>
  <si>
    <t>isRef_isPartOf</t>
  </si>
  <si>
    <t>https://creativecommons.org/licenses/by/4.0/</t>
  </si>
  <si>
    <t>ldac:DataReuseLicense</t>
  </si>
  <si>
    <t>Attribution 4.0 International (CC BY 4.0)</t>
  </si>
  <si>
    <t>You are free to: Share — copy and redistribute the material in any medium or format. Adapt — remix, transform, and build upon the material for any purpose, even commercially. This license is acceptable for Free Cultural Works. The licensor cannot revoke these freedoms as long as you follow the license terms.</t>
  </si>
  <si>
    <t>Organization</t>
  </si>
  <si>
    <t>The University of Queensland</t>
  </si>
  <si>
    <t>https://ror.org/019wvm592</t>
  </si>
  <si>
    <t>Australian National University</t>
  </si>
  <si>
    <t>https://ror.org/01ej9dk98</t>
  </si>
  <si>
    <t>The University of Melbourne</t>
  </si>
  <si>
    <t>https://ror.org/0384j8v12</t>
  </si>
  <si>
    <t>The University of Sydney</t>
  </si>
  <si>
    <t>https://ror.org/03pnv4752</t>
  </si>
  <si>
    <t>Queensland University of Technology</t>
  </si>
  <si>
    <t>https://github.com/Language-Research-Technology</t>
  </si>
  <si>
    <t>Language Data Commons of Australia</t>
  </si>
  <si>
    <t>https://github.com/Sydney-Informatics-Hub</t>
  </si>
  <si>
    <t>Sydney Informatics Hub</t>
  </si>
  <si>
    <t>https://github.com/QUT-Digital-Observatory</t>
  </si>
  <si>
    <t>Digital Observatory</t>
  </si>
  <si>
    <t>https://github.com/SLCLADAL/ladal</t>
  </si>
  <si>
    <t>Language Technology and Data Analysis Laboratory</t>
  </si>
  <si>
    <t>https://hass.uq.edu.au/centre-digital-cultures-societies</t>
  </si>
  <si>
    <t>Centre for Digital Cultures &amp; Societies</t>
  </si>
  <si>
    <t>https://orcid.org/0000-0002-1428-2649</t>
  </si>
  <si>
    <t>Person</t>
  </si>
  <si>
    <t>Chao Sun</t>
  </si>
  <si>
    <t>https://orcid.org/0009-0008-4603-9521</t>
  </si>
  <si>
    <t>Jasper Chong</t>
  </si>
  <si>
    <t>#JohnHatton</t>
  </si>
  <si>
    <t>John Hatton</t>
  </si>
  <si>
    <t>https://orcid.org/0000-0002-3616-6235</t>
  </si>
  <si>
    <t>Marius Mather</t>
  </si>
  <si>
    <t>https://orcid.org/0000-0003-1923-9153</t>
  </si>
  <si>
    <t>Martin Schweinberger</t>
  </si>
  <si>
    <t>https://orcid.org/0000-0002-4438-2755</t>
  </si>
  <si>
    <t>Moises Sacal Bonequi</t>
  </si>
  <si>
    <t>https://orcid.org/0000-0001-8797-1018</t>
  </si>
  <si>
    <t>Nick Thieberger</t>
  </si>
  <si>
    <t>https://orcid.org/0000-0003-2933-6627</t>
  </si>
  <si>
    <t>Robert Fleet</t>
  </si>
  <si>
    <t>https://orcid.org/0000-0002-1824-2361</t>
  </si>
  <si>
    <t>Sam Hames</t>
  </si>
  <si>
    <t>#SonyJufri</t>
  </si>
  <si>
    <t>Sony Jufri</t>
  </si>
  <si>
    <t>https://orcid.org/0000-0003-4904-2941</t>
  </si>
  <si>
    <t>Wolfgang Barth</t>
  </si>
  <si>
    <r>
      <rPr>
        <rFont val="Arial"/>
        <color rgb="FF305496"/>
        <sz val="12.0"/>
      </rPr>
      <t>https://orcid.org/</t>
    </r>
    <r>
      <rPr>
        <rFont val="Arial"/>
        <color rgb="FF305496"/>
        <sz val="12.0"/>
      </rPr>
      <t>0000-0001-6147-120X</t>
    </r>
  </si>
  <si>
    <t>Mel Mistica</t>
  </si>
  <si>
    <t>https://orcid.org/0000-0002-2118-3147</t>
  </si>
  <si>
    <t>River Tae Smith</t>
  </si>
  <si>
    <t>https://orcid.org/0009-0006-2241-3377</t>
  </si>
  <si>
    <t>Rosanna Smith</t>
  </si>
  <si>
    <t>https://orcid.org/0000-0003-3237-9943</t>
  </si>
  <si>
    <t>Simon Musgrave</t>
  </si>
  <si>
    <t>isRef_conformsTo</t>
  </si>
  <si>
    <t>isRef_pcdm:memberOf</t>
  </si>
  <si>
    <t>.Release Date</t>
  </si>
  <si>
    <t>.Status</t>
  </si>
  <si>
    <t>programmingLanguage</t>
  </si>
  <si>
    <t>url</t>
  </si>
  <si>
    <t>.Data format required</t>
  </si>
  <si>
    <t>.User guide/help pages (URL)</t>
  </si>
  <si>
    <t>creditText</t>
  </si>
  <si>
    <t>.Short description</t>
  </si>
  <si>
    <t>.Long description</t>
  </si>
  <si>
    <t>.Image</t>
  </si>
  <si>
    <t>.Link to code</t>
  </si>
  <si>
    <t>.Example use</t>
  </si>
  <si>
    <t>.Other Comments</t>
  </si>
  <si>
    <t>SoftwareApplication</t>
  </si>
  <si>
    <t>https://w3id.org/ldac/profile#SoftwareTool</t>
  </si>
  <si>
    <t>Anonymising ELAN Files</t>
  </si>
  <si>
    <t>Python</t>
  </si>
  <si>
    <t>https://github.com/Supertyp/Anonymising_ELAN_files</t>
  </si>
  <si>
    <t>Anonymise content of ELAN files</t>
  </si>
  <si>
    <t>eaf (ELAN file)</t>
  </si>
  <si>
    <t>Anonymises the content of ELAN files</t>
  </si>
  <si>
    <t>Collocation Analyser</t>
  </si>
  <si>
    <t>R</t>
  </si>
  <si>
    <t>https://ladal.edu.au/tools.html#jupyter-tools</t>
  </si>
  <si>
    <t>Calculates various association measures (collocation statistics) based on textual input and allows you to download the resulting table</t>
  </si>
  <si>
    <t>txt</t>
  </si>
  <si>
    <t>Calculates association measures to identify which words significantly collocate with a target word</t>
  </si>
  <si>
    <t>https://ladal.edu.au/tools.html#collocation-analyser</t>
  </si>
  <si>
    <t>CollocationCalculator</t>
  </si>
  <si>
    <t>Browser-based</t>
  </si>
  <si>
    <t>https://ladal.edu.au/tools.html#shiny-tools</t>
  </si>
  <si>
    <t>Collocation association measures</t>
  </si>
  <si>
    <t>https://ladal.edu.au/tools.html#collocationcalculator</t>
  </si>
  <si>
    <t>Concordance Explorer</t>
  </si>
  <si>
    <t>Create Keyword-in-Context displays of words or phrases in a single text or collection of texts and to download the resulting table</t>
  </si>
  <si>
    <t>Searches for words or phrases and displays them in KWIC (Keyword-in-Context) format</t>
  </si>
  <si>
    <t>https://ladal.edu.au/tools.html#concordance-explorer</t>
  </si>
  <si>
    <t>Concordancer</t>
  </si>
  <si>
    <t>Also as part of the new WebApp</t>
  </si>
  <si>
    <t>https://github.com/Australian-Text-Analytics-Platform/atap_widgets</t>
  </si>
  <si>
    <t>A concordancer that demos how to analyse turn-taking pairs in a concordancer</t>
  </si>
  <si>
    <t>csv, xlsx, plain txt; also zip archive with the supported file formats</t>
  </si>
  <si>
    <t>https://github.com/Australian-Text-Analytics-Platform/atap_widgets/blob/main/docs/concordance_help_pages.pdf</t>
  </si>
  <si>
    <t>Bednarek, M., Mather, M., Maras, K., &amp; Croser, H. (2023). ATAP Concordancer (v0.5.4) [Computer software]. https://github.com/Australian-Text-Analytics-Platform/atap_widgets. DOI. https://doi.org/10.5281/zenodo.10086731</t>
  </si>
  <si>
    <t>Demonstrates how to analyse turn-taking pairs in a concordancer</t>
  </si>
  <si>
    <t>concordancer.png</t>
  </si>
  <si>
    <t>Crate-O</t>
  </si>
  <si>
    <t>Maintained</t>
  </si>
  <si>
    <t>https://github.com/Language-Research-Technology/crate-o</t>
  </si>
  <si>
    <t>Browser-based editor for RO Crates</t>
  </si>
  <si>
    <t>Various - text, video, audio, image, etc.</t>
  </si>
  <si>
    <t>https://www.ldaca.edu.au/resources/user-guides/crate-o/</t>
  </si>
  <si>
    <t>Allows you to create and update Research Object Crates (RO-Crates)</t>
  </si>
  <si>
    <t>This browser-based tool allows you to create and update Research Object Crates (RO-Crates), either using the web interface or with metadata from a spreadsheet. RO-Crate is a flexible, developer-friendly approach to linked-data description and packaging.</t>
  </si>
  <si>
    <t>crate-o.png</t>
  </si>
  <si>
    <t>Discursis</t>
  </si>
  <si>
    <t>https://github.com/Australian-Text-Analytics-Platform/discursis</t>
  </si>
  <si>
    <t>A conversational analysis and visualisation tool</t>
  </si>
  <si>
    <t>csv, xlsx</t>
  </si>
  <si>
    <t>https://raw.githubusercontent.com/Australian-Text-Analytics-Platform/discursis/master/docs/Discursis%20User%20Guide.pdf</t>
  </si>
  <si>
    <t>Not provided</t>
  </si>
  <si>
    <t>discursis.png</t>
  </si>
  <si>
    <t>Based on Angus et al</t>
  </si>
  <si>
    <t>Document Similarity</t>
  </si>
  <si>
    <t>Full stack migration planned</t>
  </si>
  <si>
    <t>https://github.com/Australian-Text-Analytics-Platform/document-similarity</t>
  </si>
  <si>
    <t>Identifies identical and similar text in a corpus</t>
  </si>
  <si>
    <t>https://github.com/Australian-Text-Analytics-Platform/document-similarity/blob/main/documents/docsim-help-pages.pdf</t>
  </si>
  <si>
    <t>Jufri, Sony &amp; Sun, Chao (2024). Document Similarity. v1.2. Australian Text Analytics Platform. Software. https://github.com/Australian-Text-Analytics-Platform/document-similarity</t>
  </si>
  <si>
    <t>document-similarity.png</t>
  </si>
  <si>
    <t>ELAN Annotation Splitter</t>
  </si>
  <si>
    <t>Software program</t>
  </si>
  <si>
    <t>https://github.com/Supertyp/ELAN_apps/</t>
  </si>
  <si>
    <t>Allows to split annotations context depending across a folder full of Elan files. This is a standalone desktop appplication for PC and Mac, not a notebook</t>
  </si>
  <si>
    <t>Allows you to split ELAN annotations</t>
  </si>
  <si>
    <t>ELAN Audio Segmentation</t>
  </si>
  <si>
    <t>App which takes a audio or video file as imput and creates a ELAN file with empty annotations wherever a voice is heard in the audio</t>
  </si>
  <si>
    <t>wav</t>
  </si>
  <si>
    <t>Creates an ELAN file with empty annotations wherever a voice is heard in an audio or video file</t>
  </si>
  <si>
    <t>ELAN Commander</t>
  </si>
  <si>
    <t>https://www.gerlingo.com/ELAN_commander.html</t>
  </si>
  <si>
    <t>Web application to find unwanted characters in annotations</t>
  </si>
  <si>
    <t>Finds unwanted characters in ELAN annotations</t>
  </si>
  <si>
    <t>ELAN Inventory</t>
  </si>
  <si>
    <t>https://www.gerlingo.com/config_maker.html</t>
  </si>
  <si>
    <t>Web application to access the inventory of a transcription collection and to create config files to load a collection into ANNIS</t>
  </si>
  <si>
    <t>Summarises ELAN files and compiles configuration files to create an ANNIS corpus</t>
  </si>
  <si>
    <t>ELAN Replacer</t>
  </si>
  <si>
    <t>Allows context depending search and replace functionality across a folder full of elan files. Saves hours of manual work for any spelling changes in transcription. This is a stand alone software application for PC and Mac, not a notebook</t>
  </si>
  <si>
    <t>Enables context-dependent search and replace functionality across ELAN files</t>
  </si>
  <si>
    <t>FileRenamer</t>
  </si>
  <si>
    <t>Batch rename plain-text files</t>
  </si>
  <si>
    <t>Batch renames plain-text files</t>
  </si>
  <si>
    <t>https://ladal.edu.au/tools.html#filerenamer</t>
  </si>
  <si>
    <t>Image Dataset Explorer</t>
  </si>
  <si>
    <t>https://github.com/Language-Research-Technology/image-dataset-explorer</t>
  </si>
  <si>
    <t>Embeds images from a zip file using off the shelf image embeddings, then creates a static HTML visualisation for browsing/exploring clusters and relations</t>
  </si>
  <si>
    <t>zip archive with jpeg and/or png files</t>
  </si>
  <si>
    <t>Embeds images and creates a static HTML visualisation for exploring clusters and relations</t>
  </si>
  <si>
    <t>This notebook provides options for exploring large image datasets, through the use of K nearest neighbour graphs and other methods. It ingests a zip file containing images, returns a HTML file (giving options for visual exploration of the dataset) and provides some basic visualisations.</t>
  </si>
  <si>
    <t>image-dataset-explorer.png</t>
  </si>
  <si>
    <t>Keyword Finder</t>
  </si>
  <si>
    <t>Calculates various keyness measures describing how words are over or under-represented in the texts you provide, compared to your chosen reference text corpus</t>
  </si>
  <si>
    <t>Identifies words that are distinctive in a target corpus compared to a reference corpus</t>
  </si>
  <si>
    <t>https://ladal.edu.au/tools.html#keyword-finder</t>
  </si>
  <si>
    <t>KeywordExtractor</t>
  </si>
  <si>
    <t>Keyness analysis vs. a reference corpus</t>
  </si>
  <si>
    <t>Identifies words that are over- or under-represented compared to a reference corpus</t>
  </si>
  <si>
    <t>https://ladal.edu.au/tools.html#keywordextractor</t>
  </si>
  <si>
    <t>Keywords Analysis</t>
  </si>
  <si>
    <t>https://github.com/Australian-Text-Analytics-Platform/keywords-analysis</t>
  </si>
  <si>
    <t>Tool to analyse words in a collection of corpus and identify whether certain words are over or under-represented in a particular corpus compared to their representation in other corpus</t>
  </si>
  <si>
    <t>https://github.com/Australian-Text-Analytics-Platform/keywords-analysis/blob/main/documents/keywords_help_pages.pdf</t>
  </si>
  <si>
    <t>Jufri, Sony &amp; Sun, Chao (2022). Keywords Analysis. v1.0. Australian Text Analytics Platform. Software. https://github.com/Australian-Text-Analytics-Platform/keywords-analysis</t>
  </si>
  <si>
    <t>Analyses words in a collection of corpora and identifies whether certain words are over or under-represented in a particular corpus</t>
  </si>
  <si>
    <t>keyword-analysis.png</t>
  </si>
  <si>
    <t>Lameta</t>
  </si>
  <si>
    <t>Released</t>
  </si>
  <si>
    <r>
      <rPr>
        <rFont val="Arial"/>
        <color rgb="FF1155CC"/>
        <u/>
      </rPr>
      <t>https://github.com/onset/laMETA/releases</t>
    </r>
    <r>
      <rPr>
        <rFont val="Arial"/>
      </rPr>
      <t xml:space="preserve">, </t>
    </r>
    <r>
      <rPr>
        <rFont val="Arial"/>
        <color rgb="FF1155CC"/>
        <u/>
      </rPr>
      <t>https://lameta.org</t>
    </r>
  </si>
  <si>
    <t xml:space="preserve">Lameta is a metadata tool to help with organising collections of files. It is mainly aimed at collections made in the course of documenting language, music, and other cultural expressions.
Lameta greatly simplifies management of collections and makes the archiving process straightforward and painless for field workers. </t>
  </si>
  <si>
    <t>Various - text, video, audio, image, ELAN annotation (eaf)</t>
  </si>
  <si>
    <t>https://www.elararchive.org/uncategorized/SO_7557c4dd-1c83-485c-b95c-c0a292cfc42c/</t>
  </si>
  <si>
    <r>
      <rPr>
        <rFont val="Arial"/>
      </rPr>
      <t xml:space="preserve">Hatton, John, Gary Holton, Mandana Seyfeddinipur, Nick Thieberger. 2021. Lameta [software] </t>
    </r>
    <r>
      <rPr>
        <rFont val="Arial"/>
        <color rgb="FF1155CC"/>
        <u/>
      </rPr>
      <t>https://github.com/onset/laMETA/releases</t>
    </r>
  </si>
  <si>
    <t>Allows you to output a Research Object Crate (RO-Crate) from a metadata organising tool</t>
  </si>
  <si>
    <t>This software program helps with organising collections of files and is mainly aimed at field workers documenting language, music and other cultural expressions. A Research Object Crate (RO-Crate) output option has been added to this tool. RO-Crate is a flexible, developer-friendly approach to linked-data description and packaging.</t>
  </si>
  <si>
    <t>lameta.png</t>
  </si>
  <si>
    <t>https://github.com/onset/lameta</t>
  </si>
  <si>
    <t>Network Visualiser</t>
  </si>
  <si>
    <t>Allows you to generate and download network graphs based on your data</t>
  </si>
  <si>
    <t>xlsx</t>
  </si>
  <si>
    <t>Allows you to create and explore network visualisations</t>
  </si>
  <si>
    <t>https://ladal.edu.au/tools.html#network-visualiser</t>
  </si>
  <si>
    <t>You will need to provide structured data describing the edges and their weights in your network of interest</t>
  </si>
  <si>
    <t>Part-of-Speech Tagger</t>
  </si>
  <si>
    <t>Add part-of-speech tags to texts or collections of texts in more than 60 languages and download the resulting pos-tagged texts</t>
  </si>
  <si>
    <t>Tags parts-of-speech and parses dependencies in 65+ languages</t>
  </si>
  <si>
    <t>https://ladal.edu.au/tools.html#part-of-speech-tagger</t>
  </si>
  <si>
    <t>POSTagger</t>
  </si>
  <si>
    <t>Part-of-speech tagging &amp; dependency parsing in 65+ languages</t>
  </si>
  <si>
    <t>https://ladal.edu.au/tools.html#postagger</t>
  </si>
  <si>
    <t>Quotation Tool</t>
  </si>
  <si>
    <t>Full stack migration in progress</t>
  </si>
  <si>
    <t>https://github.com/Australian-Text-Analytics-Platform/quotation-tool</t>
  </si>
  <si>
    <t>A tool to extract quotes and other useful information from a newspaper article/corpus</t>
  </si>
  <si>
    <t>https://github.com/Australian-Text-Analytics-Platform/quotation-tool/blob/main/documents/quotation_help_pages.pdf</t>
  </si>
  <si>
    <t>Jufri, Sony &amp; Sun, Chao (2022). Quotation Tool. v1.0. Australian Text Analytics Platform. Software. https://github.com/Australian-Text-Analytics-Platform/quotation-tool</t>
  </si>
  <si>
    <t>Extracts quotes and other useful information from a newspaper article or corpus</t>
  </si>
  <si>
    <t>quotation-tool.png</t>
  </si>
  <si>
    <t>Semantic Tagger (English)</t>
  </si>
  <si>
    <t>https://github.com/Australian-Text-Analytics-Platform/semantic-tagger</t>
  </si>
  <si>
    <t>Used to tag a text/corpus so you can extract token level semantic tags from the tagged texts</t>
  </si>
  <si>
    <t>https://github.com/Australian-Text-Analytics-Platform/semantic-tagger/blob/main/documents/semtag_help_pages.pdf</t>
  </si>
  <si>
    <r>
      <rPr>
        <rFont val="Arial"/>
      </rPr>
      <t xml:space="preserve">Jufri, Sony &amp; Sun, Chao (2022). Semantic Tagger. v1.0. Australian Text Analytics Platform. Software. </t>
    </r>
    <r>
      <rPr>
        <rFont val="Arial"/>
        <color rgb="FF1155CC"/>
        <u/>
      </rPr>
      <t>https://github.com/Australian-Text-Analytics-Platform/semantic-tagger</t>
    </r>
  </si>
  <si>
    <t>Allows you to tag a text or corpus and extract token-level semantic tags</t>
  </si>
  <si>
    <t>semantic-tagger.png</t>
  </si>
  <si>
    <t>Sentiment Explorer</t>
  </si>
  <si>
    <t>Allows you to perform a sentiment analysis on your texts and download the results in an MS Excel spreadsheet.</t>
  </si>
  <si>
    <t>Scores texts for positive/negative polarity and eight emotion categories using the NRC lexicon</t>
  </si>
  <si>
    <t>https://ladal.edu.au/tools.html#sentiment-explorer</t>
  </si>
  <si>
    <t>SentimentExplorer</t>
  </si>
  <si>
    <t>NRC word-emotion sentiment analysis</t>
  </si>
  <si>
    <t>https://ladal.edu.au/tools.html#sentimentexplorer</t>
  </si>
  <si>
    <t>Text Cleaner</t>
  </si>
  <si>
    <t>Allows you to remove and replace words, tags, and other elements from the text data that you upload (of course you can then download the cleaned texts too)</t>
  </si>
  <si>
    <t>Removes or replaces words, tags, URLs and patterns</t>
  </si>
  <si>
    <t>https://ladal.edu.au/tools.html#text-cleaner</t>
  </si>
  <si>
    <t>TextCleaner</t>
  </si>
  <si>
    <t>Remove and replace text elements with regex</t>
  </si>
  <si>
    <t>Removes and replaces text elements with regex</t>
  </si>
  <si>
    <t>https://ladal.edu.au/tools.html#textcleaner</t>
  </si>
  <si>
    <t>Topic Explorer</t>
  </si>
  <si>
    <t>Allows you to generate your own custom topic models using unsupervised and supervised LDA and download the results in an MS Excel spreadsheet</t>
  </si>
  <si>
    <t>Allows you to discover latent themes using LDA topic modelling</t>
  </si>
  <si>
    <t>https://ladal.edu.au/tools.html#topic-explorer</t>
  </si>
  <si>
    <t>TopicDetector</t>
  </si>
  <si>
    <t>Unsupervised &amp; seeded LDA topic modelling</t>
  </si>
  <si>
    <t>Allows you to discover the thematic structure of a text using LDA topic modelling</t>
  </si>
  <si>
    <t>https://ladal.edu.au/tools.html#topicdetector</t>
  </si>
  <si>
    <t>WordFinder</t>
  </si>
  <si>
    <t>Keyword-in-context concordancing</t>
  </si>
  <si>
    <t>Searches for words or phrases and generates KWIC (Keyword-in-Context) displays</t>
  </si>
  <si>
    <t>https://ladal.edu.au/tools.html#wordfinder</t>
  </si>
  <si>
    <t>WordWebber</t>
  </si>
  <si>
    <t>Word co-occurrence network visualisation</t>
  </si>
  <si>
    <t>Builds interactive and static word co-occurrence networks</t>
  </si>
  <si>
    <t>https://ladal.edu.au/tools.html#wordwebber</t>
  </si>
  <si>
    <t>.@id</t>
  </si>
  <si>
    <t>isRef_input</t>
  </si>
  <si>
    <t>encodingFormat</t>
  </si>
  <si>
    <t>author</t>
  </si>
  <si>
    <r>
      <rPr>
        <color rgb="FF1155CC"/>
        <u/>
      </rPr>
      <t>https://w3id.org/ldac/profile#Notebook</t>
    </r>
  </si>
  <si>
    <t>COOEE Notebook</t>
  </si>
  <si>
    <t>application/x-ipynb+json</t>
  </si>
  <si>
    <t>"Rosanna Smith"</t>
  </si>
  <si>
    <t>"Simon Musgrave"</t>
  </si>
  <si>
    <t>"River Tae Smith"</t>
  </si>
  <si>
    <t xml:space="preserve">A topic modeling notebook for the cooee collection
</t>
  </si>
  <si>
    <t>RO-Crate</t>
  </si>
  <si>
    <t>Topic modelling</t>
  </si>
  <si>
    <t>https://github.com/Australian-Text-Analytics-Platform/cooee</t>
  </si>
  <si>
    <r>
      <rPr>
        <color rgb="FF1155CC"/>
        <u/>
      </rPr>
      <t>https://w3id.org/ldac/profile#Notebook</t>
    </r>
  </si>
  <si>
    <t>Farms to freeways notebook</t>
  </si>
  <si>
    <t>"Mel Mistica"</t>
  </si>
  <si>
    <t>https://github.com/Australian-Text-Analytics-Platform/farms-to-freeways</t>
  </si>
  <si>
    <t>demonstration of LDaCA tech using Farms to Freeways dataset and a notebook</t>
  </si>
  <si>
    <r>
      <rPr>
        <color rgb="FF1155CC"/>
        <u/>
      </rPr>
      <t>https://w3id.org/ldac/profile#Notebook</t>
    </r>
  </si>
  <si>
    <t>AusReddit Aggregate Data Explorer</t>
  </si>
  <si>
    <t>"Robert Fleet"</t>
  </si>
  <si>
    <t>https://data.ldaca.edu.au/object?_id=https%3A%2F%2Fgithub.com%2FAustralian-Text-Analytics-Platform%2Fnotebook-ausreddit%2Fblob%2Fmain%2Fexploration.ipynb</t>
  </si>
  <si>
    <t>Allows researchers to explore and extract subsets of the AusReddit aggregated frequency data including word usage, ngram (phrase) usage, domains and hashtags over time.</t>
  </si>
  <si>
    <t>parquet with specific schema</t>
  </si>
  <si>
    <t>Explores frequency of word usage over time in Australian subreddits.</t>
  </si>
  <si>
    <t>https://github.com/Australian-Text-Analytics-Platform/notebook-ausreddit</t>
  </si>
  <si>
    <r>
      <rPr>
        <color rgb="FF1155CC"/>
        <u/>
      </rPr>
      <t>https://w3id.org/ldac/profile#Notebook</t>
    </r>
  </si>
  <si>
    <t>Australian Twittersphere Aggregate Data Explorer</t>
  </si>
  <si>
    <t>https://data.ldaca.edu.au/object?_id=https%3A%2F%2Fgithub.com%2FAustralian-Text-Analytics-Platform%2Fnotebook-twittersphere%2Fblob%2Fmain%2Fexploration.ipynb</t>
  </si>
  <si>
    <t>Allows researchers to explore and extract subsets of the Australian Twittersphere aggregated frequency data including word usage, ngram (phrase) usage, domains and hashtags over time.</t>
  </si>
  <si>
    <t>Explores frequency of word usage over time in Australian tweets.</t>
  </si>
  <si>
    <t>https://github.com/Australian-Text-Analytics-Platform/notebook-twittersphere</t>
  </si>
  <si>
    <t>arcp://name,hdl10.26180~23961609</t>
  </si>
  <si>
    <t>A COrpus of Oz Early English (COOEE)</t>
  </si>
  <si>
    <t>RepositoryCollection</t>
  </si>
  <si>
    <t>arcp://name,doi10.4225%2F35%2F555d661071c76</t>
  </si>
  <si>
    <t>Farms to Freeways Example Dataset</t>
  </si>
  <si>
    <t xml:space="preserve">arcp://name,hdl10.25912~RDF_1754373503052
</t>
  </si>
  <si>
    <r>
      <rPr>
        <rFont val="ui-sans-serif, system-ui, -apple-system, &quot;system-ui&quot;, &quot;Segoe UI&quot;, Roboto, &quot;Helvetica Neue&quot;, Arial, &quot;Noto Sans&quot;, sans-serif, &quot;Apple Color Emoji&quot;, &quot;Segoe UI Emoji&quot;, &quot;Segoe UI Symbol&quot;, &quot;Noto Color Emoji&quot;"/>
        <color rgb="FF1155CC"/>
        <u/>
      </rPr>
      <t>AusReddit aggregated data - Collection</t>
    </r>
  </si>
  <si>
    <t>arcp://name,hdl10.25912~RDF_1758591652309</t>
  </si>
  <si>
    <t xml:space="preserve">Australian Twittersphere (AuTS) aggregated data - Collection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</si>
</sst>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0.0"/>
      <color rgb="FF000000"/>
      <name val="Arial"/>
      <scheme val="minor"/>
    </font>
    <font>
      <b/>
      <sz val="12.0"/>
      <color rgb="FF002060"/>
      <name val="&quot;Helvetica Light&quot;"/>
    </font>
    <font>
      <sz val="12.0"/>
      <color rgb="FF305496"/>
      <name val="&quot;Helvetica Light&quot;"/>
    </font>
    <font>
      <sz val="12.0"/>
      <color rgb="FF548235"/>
      <name val="&quot;Helvetica Light&quot;"/>
    </font>
    <font>
      <sz val="12.0"/>
      <color rgb="FF305496"/>
      <name val="Arial"/>
    </font>
    <font>
      <u/>
      <sz val="12.0"/>
      <color rgb="FF548235"/>
      <name val="&quot;Helvetica Light&quot;"/>
    </font>
    <font>
      <u/>
      <sz val="12.0"/>
      <color rgb="FF305496"/>
      <name val="&quot;Helvetica Light&quot;"/>
    </font>
    <font>
      <sz val="12.0"/>
      <color rgb="FF548235"/>
      <name val="Arial"/>
    </font>
    <font>
      <color rgb="FF303133"/>
      <name val="Ui-sans-serif"/>
    </font>
    <font>
      <b/>
      <color theme="1"/>
      <name val="Arial"/>
    </font>
    <font>
      <color theme="1"/>
      <name val="Arial"/>
    </font>
    <font>
      <u/>
      <color rgb="FF0000FF"/>
      <name val="Arial"/>
    </font>
    <font>
      <u/>
      <color rgb="FF0000FF"/>
      <name val="Arial"/>
    </font>
    <font>
      <u/>
      <color rgb="FF1155CC"/>
      <name val="Arial"/>
    </font>
    <font>
      <u/>
      <color rgb="FF0000FF"/>
      <name val="Arial"/>
    </font>
    <font>
      <u/>
      <color rgb="FF0000FF"/>
      <name val="Arial"/>
    </font>
    <font>
      <u/>
      <color theme="1"/>
      <name val="Arial"/>
    </font>
    <font>
      <u/>
      <color rgb="FF0000FF"/>
      <name val="Arial"/>
    </font>
    <font>
      <u/>
      <color rgb="FF0000FF"/>
    </font>
    <font>
      <color theme="1"/>
      <name val="Arial"/>
      <scheme val="minor"/>
    </font>
    <font>
      <sz val="12.0"/>
      <color rgb="FF000000"/>
      <name val="Ui-sans-serif"/>
    </font>
    <font>
      <color rgb="FF1F1F1F"/>
      <name val="Arial"/>
    </font>
    <font>
      <u/>
      <color rgb="FF1155CC"/>
      <name val="Arial"/>
    </font>
    <font>
      <u/>
      <color rgb="FF0000FF"/>
    </font>
    <font>
      <color rgb="FF1F1F1F"/>
      <name val="Arial"/>
      <scheme val="minor"/>
    </font>
    <font>
      <u/>
      <color rgb="FF0000FF"/>
      <name val="Arial"/>
    </font>
    <font>
      <sz val="12.0"/>
      <color rgb="FF000000"/>
      <name val="Arial"/>
    </font>
    <font>
      <u/>
      <color rgb="FF000000"/>
      <name val="Ui-sans-serif"/>
    </font>
  </fonts>
  <fills count="9">
    <fill>
      <patternFill patternType="none"/>
    </fill>
    <fill>
      <patternFill patternType="lightGray"/>
    </fill>
    <fill>
      <patternFill patternType="solid">
        <fgColor rgb="FFE7E6E6"/>
        <bgColor rgb="FFE7E6E6"/>
      </patternFill>
    </fill>
    <fill>
      <patternFill patternType="solid">
        <fgColor rgb="FFE8EAFF"/>
        <bgColor rgb="FFE8EAFF"/>
      </patternFill>
    </fill>
    <fill>
      <patternFill patternType="solid">
        <fgColor rgb="FFDDEBF7"/>
        <bgColor rgb="FFDDEBF7"/>
      </patternFill>
    </fill>
    <fill>
      <patternFill patternType="solid">
        <fgColor rgb="FFE2EFDA"/>
        <bgColor rgb="FFE2EFDA"/>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1" numFmtId="0" xfId="0" applyAlignment="1" applyFill="1" applyFont="1">
      <alignment readingOrder="0" shrinkToFit="0" vertical="bottom" wrapText="0"/>
    </xf>
    <xf borderId="0" fillId="4" fontId="2" numFmtId="0" xfId="0" applyAlignment="1" applyFill="1" applyFont="1">
      <alignment readingOrder="0" shrinkToFit="0" vertical="bottom" wrapText="0"/>
    </xf>
    <xf borderId="0" fillId="5" fontId="3" numFmtId="0" xfId="0" applyAlignment="1" applyFill="1" applyFont="1">
      <alignment readingOrder="0" shrinkToFit="0" vertical="bottom" wrapText="0"/>
    </xf>
    <xf borderId="0" fillId="4" fontId="4" numFmtId="0" xfId="0" applyAlignment="1" applyFont="1">
      <alignment readingOrder="0" shrinkToFit="0" vertical="bottom" wrapText="0"/>
    </xf>
    <xf borderId="0" fillId="5" fontId="5" numFmtId="0" xfId="0" applyAlignment="1" applyFont="1">
      <alignment readingOrder="0" shrinkToFit="0" vertical="bottom" wrapText="0"/>
    </xf>
    <xf borderId="0" fillId="4" fontId="4" numFmtId="164" xfId="0" applyAlignment="1" applyFont="1" applyNumberFormat="1">
      <alignment readingOrder="0" shrinkToFit="0" vertical="bottom" wrapText="0"/>
    </xf>
    <xf borderId="0" fillId="4" fontId="2"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4" fontId="2" numFmtId="0" xfId="0" applyAlignment="1" applyFont="1">
      <alignment horizontal="center" readingOrder="0" shrinkToFit="0" vertical="bottom" wrapText="0"/>
    </xf>
    <xf borderId="0" fillId="4" fontId="4" numFmtId="0" xfId="0" applyAlignment="1" applyFont="1">
      <alignment readingOrder="0" shrinkToFit="0" vertical="bottom" wrapText="0"/>
    </xf>
    <xf borderId="0" fillId="5" fontId="7" numFmtId="0" xfId="0" applyAlignment="1" applyFont="1">
      <alignment readingOrder="0" shrinkToFit="0" vertical="bottom" wrapText="0"/>
    </xf>
    <xf borderId="0" fillId="4" fontId="4" numFmtId="0" xfId="0" applyAlignment="1" applyFont="1">
      <alignment readingOrder="0" shrinkToFit="0" vertical="bottom" wrapText="0"/>
    </xf>
    <xf borderId="0" fillId="6" fontId="8" numFmtId="0" xfId="0" applyFill="1" applyFont="1"/>
    <xf quotePrefix="1" borderId="0" fillId="0" fontId="9" numFmtId="0" xfId="0" applyAlignment="1" applyFont="1">
      <alignment readingOrder="0" shrinkToFit="0" wrapText="1"/>
    </xf>
    <xf borderId="0" fillId="0" fontId="9" numFmtId="0" xfId="0" applyAlignment="1" applyFont="1">
      <alignment readingOrder="0" shrinkToFit="0" wrapText="1"/>
    </xf>
    <xf borderId="0" fillId="7" fontId="9" numFmtId="0" xfId="0" applyAlignment="1" applyFill="1" applyFont="1">
      <alignment readingOrder="0" shrinkToFit="0" wrapText="1"/>
    </xf>
    <xf borderId="0" fillId="0" fontId="9" numFmtId="0" xfId="0" applyAlignment="1" applyFont="1">
      <alignment readingOrder="0" shrinkToFit="0" wrapText="0"/>
    </xf>
    <xf borderId="0" fillId="7" fontId="9" numFmtId="0" xfId="0" applyAlignment="1" applyFont="1">
      <alignment readingOrder="0" shrinkToFit="0" wrapText="0"/>
    </xf>
    <xf borderId="0" fillId="7" fontId="10" numFmtId="0" xfId="0" applyAlignment="1" applyFont="1">
      <alignment shrinkToFit="0" wrapText="1"/>
    </xf>
    <xf borderId="0" fillId="7" fontId="10" numFmtId="0" xfId="0" applyAlignment="1" applyFont="1">
      <alignment readingOrder="0" shrinkToFit="0" wrapText="1"/>
    </xf>
    <xf borderId="0" fillId="7" fontId="11" numFmtId="0" xfId="0" applyAlignment="1" applyFont="1">
      <alignment readingOrder="0" shrinkToFit="0" wrapText="1"/>
    </xf>
    <xf borderId="0" fillId="0" fontId="10" numFmtId="0" xfId="0" applyFont="1"/>
    <xf borderId="0" fillId="0" fontId="12" numFmtId="0" xfId="0" applyAlignment="1" applyFont="1">
      <alignment shrinkToFit="0" wrapText="1"/>
    </xf>
    <xf borderId="0" fillId="0" fontId="10" numFmtId="0" xfId="0" applyAlignment="1" applyFont="1">
      <alignment shrinkToFit="0" wrapText="1"/>
    </xf>
    <xf borderId="0" fillId="0" fontId="13" numFmtId="0" xfId="0" applyAlignment="1" applyFont="1">
      <alignment shrinkToFit="0" wrapText="0"/>
    </xf>
    <xf borderId="0" fillId="0" fontId="10" numFmtId="0" xfId="0" applyAlignment="1" applyFont="1">
      <alignment vertical="bottom"/>
    </xf>
    <xf borderId="0" fillId="8" fontId="14" numFmtId="0" xfId="0" applyAlignment="1" applyFill="1" applyFont="1">
      <alignment shrinkToFit="0" wrapText="1"/>
    </xf>
    <xf borderId="0" fillId="8" fontId="10" numFmtId="0" xfId="0" applyAlignment="1" applyFont="1">
      <alignment shrinkToFit="0" wrapText="1"/>
    </xf>
    <xf borderId="0" fillId="0" fontId="15" numFmtId="0" xfId="0" applyAlignment="1" applyFont="1">
      <alignment shrinkToFit="0" wrapText="0"/>
    </xf>
    <xf borderId="0" fillId="0" fontId="16" numFmtId="0" xfId="0" applyAlignment="1" applyFont="1">
      <alignment shrinkToFit="0" wrapText="1"/>
    </xf>
    <xf borderId="0" fillId="8" fontId="10" numFmtId="0" xfId="0" applyFont="1"/>
    <xf borderId="0" fillId="7" fontId="17" numFmtId="0" xfId="0" applyAlignment="1" applyFont="1">
      <alignment shrinkToFit="0" wrapText="1"/>
    </xf>
    <xf borderId="0" fillId="0" fontId="18" numFmtId="0" xfId="0" applyAlignment="1" applyFont="1">
      <alignment readingOrder="0" shrinkToFit="0" wrapText="1"/>
    </xf>
    <xf borderId="0" fillId="0" fontId="19" numFmtId="0" xfId="0" applyFont="1"/>
    <xf borderId="0" fillId="0" fontId="20" numFmtId="0" xfId="0" applyAlignment="1" applyFont="1">
      <alignment readingOrder="0" shrinkToFit="0" wrapText="1"/>
    </xf>
    <xf borderId="0" fillId="0" fontId="21" numFmtId="0" xfId="0" applyAlignment="1" applyFont="1">
      <alignment readingOrder="0" shrinkToFit="0" wrapText="1"/>
    </xf>
    <xf borderId="0" fillId="0" fontId="10" numFmtId="0" xfId="0" applyAlignment="1" applyFont="1">
      <alignment readingOrder="0" shrinkToFit="0" wrapText="1"/>
    </xf>
    <xf borderId="0" fillId="0" fontId="22" numFmtId="0" xfId="0" applyAlignment="1" applyFont="1">
      <alignment readingOrder="0" shrinkToFit="0" wrapText="0"/>
    </xf>
    <xf borderId="0" fillId="0" fontId="23" numFmtId="0" xfId="0" applyAlignment="1" applyFont="1">
      <alignment readingOrder="0"/>
    </xf>
    <xf borderId="0" fillId="0" fontId="24" numFmtId="0" xfId="0" applyAlignment="1" applyFont="1">
      <alignment readingOrder="0"/>
    </xf>
    <xf borderId="0" fillId="0" fontId="19" numFmtId="0" xfId="0" applyAlignment="1" applyFont="1">
      <alignment readingOrder="0"/>
    </xf>
    <xf borderId="0" fillId="0" fontId="25" numFmtId="0" xfId="0" applyFont="1"/>
    <xf borderId="0" fillId="0" fontId="19" numFmtId="0" xfId="0" applyAlignment="1" applyFont="1">
      <alignment shrinkToFit="0" wrapText="1"/>
    </xf>
    <xf borderId="0" fillId="0" fontId="20"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0" fontId="2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r.org/00rqy942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3id.org/ldac/term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orcid.org/0000-0002-1824-2361" TargetMode="External"/><Relationship Id="rId10" Type="http://schemas.openxmlformats.org/officeDocument/2006/relationships/hyperlink" Target="https://orcid.org/0000-0003-2933-6627" TargetMode="External"/><Relationship Id="rId13" Type="http://schemas.openxmlformats.org/officeDocument/2006/relationships/hyperlink" Target="https://orcid.org/0000-0003-4904-2941" TargetMode="External"/><Relationship Id="rId12" Type="http://schemas.openxmlformats.org/officeDocument/2006/relationships/hyperlink" Target="https://orcid.org/0000-0003-4904-2941" TargetMode="External"/><Relationship Id="rId1" Type="http://schemas.openxmlformats.org/officeDocument/2006/relationships/hyperlink" Target="https://ror.org/00rqy9422" TargetMode="External"/><Relationship Id="rId2" Type="http://schemas.openxmlformats.org/officeDocument/2006/relationships/hyperlink" Target="https://github.com/SLCLADAL/ladal" TargetMode="External"/><Relationship Id="rId3" Type="http://schemas.openxmlformats.org/officeDocument/2006/relationships/hyperlink" Target="https://hass.uq.edu.au/centre-digital-cultures-societies" TargetMode="External"/><Relationship Id="rId4" Type="http://schemas.openxmlformats.org/officeDocument/2006/relationships/hyperlink" Target="https://orcid.org/0000-0002-1428-2649" TargetMode="External"/><Relationship Id="rId9" Type="http://schemas.openxmlformats.org/officeDocument/2006/relationships/hyperlink" Target="https://orcid.org/0000-0001-8797-1018" TargetMode="External"/><Relationship Id="rId15" Type="http://schemas.openxmlformats.org/officeDocument/2006/relationships/hyperlink" Target="https://orcid.org/0009-0006-2241-3377" TargetMode="External"/><Relationship Id="rId14" Type="http://schemas.openxmlformats.org/officeDocument/2006/relationships/hyperlink" Target="https://orcid.org/0000-0002-2118-3147" TargetMode="External"/><Relationship Id="rId17" Type="http://schemas.openxmlformats.org/officeDocument/2006/relationships/drawing" Target="../drawings/drawing4.xml"/><Relationship Id="rId16" Type="http://schemas.openxmlformats.org/officeDocument/2006/relationships/hyperlink" Target="https://orcid.org/0000-0003-3237-9943" TargetMode="External"/><Relationship Id="rId5" Type="http://schemas.openxmlformats.org/officeDocument/2006/relationships/hyperlink" Target="https://orcid.org/0009-0008-4603-9521" TargetMode="External"/><Relationship Id="rId6" Type="http://schemas.openxmlformats.org/officeDocument/2006/relationships/hyperlink" Target="https://orcid.org/0000-0002-3616-6235" TargetMode="External"/><Relationship Id="rId7" Type="http://schemas.openxmlformats.org/officeDocument/2006/relationships/hyperlink" Target="https://orcid.org/0000-0003-1923-9153" TargetMode="External"/><Relationship Id="rId8" Type="http://schemas.openxmlformats.org/officeDocument/2006/relationships/hyperlink" Target="https://orcid.org/0000-0002-4438-2755"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gerlingo.com/ELAN_commander.html" TargetMode="External"/><Relationship Id="rId42" Type="http://schemas.openxmlformats.org/officeDocument/2006/relationships/hyperlink" Target="https://w3id.org/ldac/profile" TargetMode="External"/><Relationship Id="rId41" Type="http://schemas.openxmlformats.org/officeDocument/2006/relationships/hyperlink" Target="https://www.gerlingo.com/ELAN_commander.html" TargetMode="External"/><Relationship Id="rId44" Type="http://schemas.openxmlformats.org/officeDocument/2006/relationships/hyperlink" Target="https://www.gerlingo.com/config_maker.html" TargetMode="External"/><Relationship Id="rId43" Type="http://schemas.openxmlformats.org/officeDocument/2006/relationships/hyperlink" Target="https://www.gerlingo.com/config_maker.html" TargetMode="External"/><Relationship Id="rId46" Type="http://schemas.openxmlformats.org/officeDocument/2006/relationships/hyperlink" Target="https://github.com/Supertyp/ELAN_apps/" TargetMode="External"/><Relationship Id="rId45" Type="http://schemas.openxmlformats.org/officeDocument/2006/relationships/hyperlink" Target="https://w3id.org/ldac/profile" TargetMode="External"/><Relationship Id="rId107" Type="http://schemas.openxmlformats.org/officeDocument/2006/relationships/hyperlink" Target="https://w3id.org/ldac/profile" TargetMode="External"/><Relationship Id="rId106" Type="http://schemas.openxmlformats.org/officeDocument/2006/relationships/hyperlink" Target="https://ladal.edu.au/tools.html" TargetMode="External"/><Relationship Id="rId105" Type="http://schemas.openxmlformats.org/officeDocument/2006/relationships/hyperlink" Target="https://ladal.edu.au/tools.html" TargetMode="External"/><Relationship Id="rId104" Type="http://schemas.openxmlformats.org/officeDocument/2006/relationships/hyperlink" Target="https://w3id.org/ldac/profile" TargetMode="External"/><Relationship Id="rId109" Type="http://schemas.openxmlformats.org/officeDocument/2006/relationships/hyperlink" Target="https://ladal.edu.au/tools.html" TargetMode="External"/><Relationship Id="rId108" Type="http://schemas.openxmlformats.org/officeDocument/2006/relationships/hyperlink" Target="https://ladal.edu.au/tools.html" TargetMode="External"/><Relationship Id="rId48" Type="http://schemas.openxmlformats.org/officeDocument/2006/relationships/hyperlink" Target="https://w3id.org/ldac/profile" TargetMode="External"/><Relationship Id="rId47" Type="http://schemas.openxmlformats.org/officeDocument/2006/relationships/hyperlink" Target="https://github.com/Supertyp/ELAN_apps/" TargetMode="External"/><Relationship Id="rId49" Type="http://schemas.openxmlformats.org/officeDocument/2006/relationships/hyperlink" Target="https://ladal.edu.au/tools.html" TargetMode="External"/><Relationship Id="rId103" Type="http://schemas.openxmlformats.org/officeDocument/2006/relationships/hyperlink" Target="https://ladal.edu.au/tools.html" TargetMode="External"/><Relationship Id="rId102" Type="http://schemas.openxmlformats.org/officeDocument/2006/relationships/hyperlink" Target="https://ladal.edu.au/tools.html" TargetMode="External"/><Relationship Id="rId101" Type="http://schemas.openxmlformats.org/officeDocument/2006/relationships/hyperlink" Target="https://w3id.org/ldac/profile" TargetMode="External"/><Relationship Id="rId100" Type="http://schemas.openxmlformats.org/officeDocument/2006/relationships/hyperlink" Target="https://ladal.edu.au/tools.html" TargetMode="External"/><Relationship Id="rId31" Type="http://schemas.openxmlformats.org/officeDocument/2006/relationships/hyperlink" Target="https://drive.google.com/file/d/1sUVZ0cdDrRuapJ-kZPO4u4HsjeGm6V__/view?usp=drive_link" TargetMode="External"/><Relationship Id="rId30" Type="http://schemas.openxmlformats.org/officeDocument/2006/relationships/hyperlink" Target="https://github.com/Australian-Text-Analytics-Platform/document-similarity/blob/main/documents/docsim-help-pages.pdf" TargetMode="External"/><Relationship Id="rId33" Type="http://schemas.openxmlformats.org/officeDocument/2006/relationships/hyperlink" Target="https://w3id.org/ldac/profile" TargetMode="External"/><Relationship Id="rId32" Type="http://schemas.openxmlformats.org/officeDocument/2006/relationships/hyperlink" Target="https://github.com/Australian-Text-Analytics-Platform/document-similarity" TargetMode="External"/><Relationship Id="rId35" Type="http://schemas.openxmlformats.org/officeDocument/2006/relationships/hyperlink" Target="https://github.com/Supertyp/ELAN_apps/" TargetMode="External"/><Relationship Id="rId34" Type="http://schemas.openxmlformats.org/officeDocument/2006/relationships/hyperlink" Target="https://github.com/Supertyp/ELAN_apps/" TargetMode="External"/><Relationship Id="rId37" Type="http://schemas.openxmlformats.org/officeDocument/2006/relationships/hyperlink" Target="https://github.com/Supertyp/ELAN_apps/" TargetMode="External"/><Relationship Id="rId36" Type="http://schemas.openxmlformats.org/officeDocument/2006/relationships/hyperlink" Target="https://w3id.org/ldac/profile" TargetMode="External"/><Relationship Id="rId39" Type="http://schemas.openxmlformats.org/officeDocument/2006/relationships/hyperlink" Target="https://w3id.org/ldac/profile" TargetMode="External"/><Relationship Id="rId38" Type="http://schemas.openxmlformats.org/officeDocument/2006/relationships/hyperlink" Target="https://github.com/Supertyp/ELAN_apps/" TargetMode="External"/><Relationship Id="rId20" Type="http://schemas.openxmlformats.org/officeDocument/2006/relationships/hyperlink" Target="https://www.ldaca.edu.au/resources/user-guides/crate-o/" TargetMode="External"/><Relationship Id="rId22" Type="http://schemas.openxmlformats.org/officeDocument/2006/relationships/hyperlink" Target="https://github.com/Language-Research-Technology/crate-o" TargetMode="External"/><Relationship Id="rId21" Type="http://schemas.openxmlformats.org/officeDocument/2006/relationships/hyperlink" Target="https://drive.google.com/file/d/1pE1yqzWMay3Xp88XJz8Z8ZYYKKfWRBHo/view?usp=drive_link" TargetMode="External"/><Relationship Id="rId24" Type="http://schemas.openxmlformats.org/officeDocument/2006/relationships/hyperlink" Target="https://github.com/Australian-Text-Analytics-Platform/discursis" TargetMode="External"/><Relationship Id="rId23" Type="http://schemas.openxmlformats.org/officeDocument/2006/relationships/hyperlink" Target="https://w3id.org/ldac/profile" TargetMode="External"/><Relationship Id="rId26" Type="http://schemas.openxmlformats.org/officeDocument/2006/relationships/hyperlink" Target="https://drive.google.com/file/d/1hsZdZqEZ7442-EpBZK_JwgLj54L8HDq4/view?usp=drive_link" TargetMode="External"/><Relationship Id="rId25" Type="http://schemas.openxmlformats.org/officeDocument/2006/relationships/hyperlink" Target="https://raw.githubusercontent.com/Australian-Text-Analytics-Platform/discursis/master/docs/Discursis%20User%20Guide.pdf" TargetMode="External"/><Relationship Id="rId28" Type="http://schemas.openxmlformats.org/officeDocument/2006/relationships/hyperlink" Target="https://w3id.org/ldac/profile" TargetMode="External"/><Relationship Id="rId27" Type="http://schemas.openxmlformats.org/officeDocument/2006/relationships/hyperlink" Target="https://github.com/Australian-Text-Analytics-Platform/discursis" TargetMode="External"/><Relationship Id="rId29" Type="http://schemas.openxmlformats.org/officeDocument/2006/relationships/hyperlink" Target="https://github.com/Australian-Text-Analytics-Platform/document-similarity" TargetMode="External"/><Relationship Id="rId95" Type="http://schemas.openxmlformats.org/officeDocument/2006/relationships/hyperlink" Target="https://w3id.org/ldac/profile" TargetMode="External"/><Relationship Id="rId94" Type="http://schemas.openxmlformats.org/officeDocument/2006/relationships/hyperlink" Target="https://ladal.edu.au/tools.html" TargetMode="External"/><Relationship Id="rId97" Type="http://schemas.openxmlformats.org/officeDocument/2006/relationships/hyperlink" Target="https://ladal.edu.au/tools.html" TargetMode="External"/><Relationship Id="rId96" Type="http://schemas.openxmlformats.org/officeDocument/2006/relationships/hyperlink" Target="https://ladal.edu.au/tools.html" TargetMode="External"/><Relationship Id="rId11" Type="http://schemas.openxmlformats.org/officeDocument/2006/relationships/hyperlink" Target="https://ladal.edu.au/tools.html" TargetMode="External"/><Relationship Id="rId99" Type="http://schemas.openxmlformats.org/officeDocument/2006/relationships/hyperlink" Target="https://ladal.edu.au/tools.html" TargetMode="External"/><Relationship Id="rId10" Type="http://schemas.openxmlformats.org/officeDocument/2006/relationships/hyperlink" Target="https://w3id.org/ldac/profile" TargetMode="External"/><Relationship Id="rId98" Type="http://schemas.openxmlformats.org/officeDocument/2006/relationships/hyperlink" Target="https://w3id.org/ldac/profile" TargetMode="External"/><Relationship Id="rId13" Type="http://schemas.openxmlformats.org/officeDocument/2006/relationships/hyperlink" Target="https://w3id.org/ldac/profile" TargetMode="External"/><Relationship Id="rId12" Type="http://schemas.openxmlformats.org/officeDocument/2006/relationships/hyperlink" Target="https://ladal.edu.au/tools.html" TargetMode="External"/><Relationship Id="rId91" Type="http://schemas.openxmlformats.org/officeDocument/2006/relationships/hyperlink" Target="https://github.com/Australian-Text-Analytics-Platform/semantic-tagger" TargetMode="External"/><Relationship Id="rId90" Type="http://schemas.openxmlformats.org/officeDocument/2006/relationships/hyperlink" Target="https://drive.google.com/file/d/1BOUWnJHh33cthObXOXXzdXCEwZ93gYZG/view?usp=drive_link" TargetMode="External"/><Relationship Id="rId93" Type="http://schemas.openxmlformats.org/officeDocument/2006/relationships/hyperlink" Target="https://ladal.edu.au/tools.html" TargetMode="External"/><Relationship Id="rId92" Type="http://schemas.openxmlformats.org/officeDocument/2006/relationships/hyperlink" Target="https://w3id.org/ldac/profile" TargetMode="External"/><Relationship Id="rId116" Type="http://schemas.openxmlformats.org/officeDocument/2006/relationships/drawing" Target="../drawings/drawing5.xml"/><Relationship Id="rId115" Type="http://schemas.openxmlformats.org/officeDocument/2006/relationships/hyperlink" Target="https://ladal.edu.au/tools.html" TargetMode="External"/><Relationship Id="rId15" Type="http://schemas.openxmlformats.org/officeDocument/2006/relationships/hyperlink" Target="https://github.com/Australian-Text-Analytics-Platform/atap_widgets/blob/main/docs/concordance_help_pages.pdf" TargetMode="External"/><Relationship Id="rId110" Type="http://schemas.openxmlformats.org/officeDocument/2006/relationships/hyperlink" Target="https://w3id.org/ldac/profile" TargetMode="External"/><Relationship Id="rId14" Type="http://schemas.openxmlformats.org/officeDocument/2006/relationships/hyperlink" Target="https://github.com/Australian-Text-Analytics-Platform/atap_widgets" TargetMode="External"/><Relationship Id="rId17" Type="http://schemas.openxmlformats.org/officeDocument/2006/relationships/hyperlink" Target="https://github.com/Australian-Text-Analytics-Platform/atap_widgets" TargetMode="External"/><Relationship Id="rId16" Type="http://schemas.openxmlformats.org/officeDocument/2006/relationships/hyperlink" Target="https://drive.google.com/file/d/1Be5ABMAjq5jmjnb9A6E4247QhinSJuKh/view?usp=drive_link" TargetMode="External"/><Relationship Id="rId19" Type="http://schemas.openxmlformats.org/officeDocument/2006/relationships/hyperlink" Target="https://github.com/Language-Research-Technology/crate-o" TargetMode="External"/><Relationship Id="rId114" Type="http://schemas.openxmlformats.org/officeDocument/2006/relationships/hyperlink" Target="https://ladal.edu.au/tools.html" TargetMode="External"/><Relationship Id="rId18" Type="http://schemas.openxmlformats.org/officeDocument/2006/relationships/hyperlink" Target="https://w3id.org/ldac/profile" TargetMode="External"/><Relationship Id="rId113" Type="http://schemas.openxmlformats.org/officeDocument/2006/relationships/hyperlink" Target="https://w3id.org/ldac/profile" TargetMode="External"/><Relationship Id="rId112" Type="http://schemas.openxmlformats.org/officeDocument/2006/relationships/hyperlink" Target="https://ladal.edu.au/tools.html" TargetMode="External"/><Relationship Id="rId111" Type="http://schemas.openxmlformats.org/officeDocument/2006/relationships/hyperlink" Target="https://ladal.edu.au/tools.html" TargetMode="External"/><Relationship Id="rId84" Type="http://schemas.openxmlformats.org/officeDocument/2006/relationships/hyperlink" Target="https://drive.google.com/file/d/1-vNT7ZrQLZu5FIPPySqCV94-UObrSoc0/view?usp=drive_link" TargetMode="External"/><Relationship Id="rId83" Type="http://schemas.openxmlformats.org/officeDocument/2006/relationships/hyperlink" Target="https://github.com/Australian-Text-Analytics-Platform/quotation-tool/blob/main/documents/quotation_help_pages.pdf" TargetMode="External"/><Relationship Id="rId86" Type="http://schemas.openxmlformats.org/officeDocument/2006/relationships/hyperlink" Target="https://w3id.org/ldac/profile" TargetMode="External"/><Relationship Id="rId85" Type="http://schemas.openxmlformats.org/officeDocument/2006/relationships/hyperlink" Target="https://github.com/Australian-Text-Analytics-Platform/quotation-tool" TargetMode="External"/><Relationship Id="rId88" Type="http://schemas.openxmlformats.org/officeDocument/2006/relationships/hyperlink" Target="https://github.com/Australian-Text-Analytics-Platform/semantic-tagger/blob/main/documents/semtag_help_pages.pdf" TargetMode="External"/><Relationship Id="rId87" Type="http://schemas.openxmlformats.org/officeDocument/2006/relationships/hyperlink" Target="https://github.com/Australian-Text-Analytics-Platform/semantic-tagger" TargetMode="External"/><Relationship Id="rId89" Type="http://schemas.openxmlformats.org/officeDocument/2006/relationships/hyperlink" Target="https://github.com/Australian-Text-Analytics-Platform/semantic-tagger" TargetMode="External"/><Relationship Id="rId80" Type="http://schemas.openxmlformats.org/officeDocument/2006/relationships/hyperlink" Target="https://ladal.edu.au/tools.html" TargetMode="External"/><Relationship Id="rId82" Type="http://schemas.openxmlformats.org/officeDocument/2006/relationships/hyperlink" Target="https://github.com/Australian-Text-Analytics-Platform/quotation-tool" TargetMode="External"/><Relationship Id="rId81" Type="http://schemas.openxmlformats.org/officeDocument/2006/relationships/hyperlink" Target="https://w3id.org/ldac/profile" TargetMode="External"/><Relationship Id="rId1" Type="http://schemas.openxmlformats.org/officeDocument/2006/relationships/hyperlink" Target="https://w3id.org/ldac/profile" TargetMode="External"/><Relationship Id="rId2" Type="http://schemas.openxmlformats.org/officeDocument/2006/relationships/hyperlink" Target="https://github.com/Supertyp/Anonymising_ELAN_files" TargetMode="External"/><Relationship Id="rId3" Type="http://schemas.openxmlformats.org/officeDocument/2006/relationships/hyperlink" Target="https://github.com/Supertyp/Anonymising_ELAN_files" TargetMode="External"/><Relationship Id="rId4" Type="http://schemas.openxmlformats.org/officeDocument/2006/relationships/hyperlink" Target="https://w3id.org/ldac/profile" TargetMode="External"/><Relationship Id="rId9" Type="http://schemas.openxmlformats.org/officeDocument/2006/relationships/hyperlink" Target="https://ladal.edu.au/tools.html" TargetMode="External"/><Relationship Id="rId5" Type="http://schemas.openxmlformats.org/officeDocument/2006/relationships/hyperlink" Target="https://ladal.edu.au/tools.html" TargetMode="External"/><Relationship Id="rId6" Type="http://schemas.openxmlformats.org/officeDocument/2006/relationships/hyperlink" Target="https://ladal.edu.au/tools.html" TargetMode="External"/><Relationship Id="rId7" Type="http://schemas.openxmlformats.org/officeDocument/2006/relationships/hyperlink" Target="https://w3id.org/ldac/profile" TargetMode="External"/><Relationship Id="rId8" Type="http://schemas.openxmlformats.org/officeDocument/2006/relationships/hyperlink" Target="https://ladal.edu.au/tools.html" TargetMode="External"/><Relationship Id="rId73" Type="http://schemas.openxmlformats.org/officeDocument/2006/relationships/hyperlink" Target="https://ladal.edu.au/tools.html" TargetMode="External"/><Relationship Id="rId72" Type="http://schemas.openxmlformats.org/officeDocument/2006/relationships/hyperlink" Target="https://w3id.org/ldac/profile" TargetMode="External"/><Relationship Id="rId75" Type="http://schemas.openxmlformats.org/officeDocument/2006/relationships/hyperlink" Target="https://w3id.org/ldac/profile" TargetMode="External"/><Relationship Id="rId74" Type="http://schemas.openxmlformats.org/officeDocument/2006/relationships/hyperlink" Target="https://ladal.edu.au/tools.html" TargetMode="External"/><Relationship Id="rId77" Type="http://schemas.openxmlformats.org/officeDocument/2006/relationships/hyperlink" Target="https://ladal.edu.au/tools.html" TargetMode="External"/><Relationship Id="rId76" Type="http://schemas.openxmlformats.org/officeDocument/2006/relationships/hyperlink" Target="https://ladal.edu.au/tools.html" TargetMode="External"/><Relationship Id="rId79" Type="http://schemas.openxmlformats.org/officeDocument/2006/relationships/hyperlink" Target="https://ladal.edu.au/tools.html" TargetMode="External"/><Relationship Id="rId78" Type="http://schemas.openxmlformats.org/officeDocument/2006/relationships/hyperlink" Target="https://w3id.org/ldac/profile" TargetMode="External"/><Relationship Id="rId71" Type="http://schemas.openxmlformats.org/officeDocument/2006/relationships/hyperlink" Target="https://github.com/onset/lameta" TargetMode="External"/><Relationship Id="rId70" Type="http://schemas.openxmlformats.org/officeDocument/2006/relationships/hyperlink" Target="https://drive.google.com/file/d/1-glEdJnBILAr_zilv0rXGpdw7cNQP69k/view?usp=drive_link" TargetMode="External"/><Relationship Id="rId62" Type="http://schemas.openxmlformats.org/officeDocument/2006/relationships/hyperlink" Target="https://github.com/Australian-Text-Analytics-Platform/keywords-analysis" TargetMode="External"/><Relationship Id="rId61" Type="http://schemas.openxmlformats.org/officeDocument/2006/relationships/hyperlink" Target="https://w3id.org/ldac/profile" TargetMode="External"/><Relationship Id="rId64" Type="http://schemas.openxmlformats.org/officeDocument/2006/relationships/hyperlink" Target="https://drive.google.com/file/d/1vUsh5x7qDxrchV0iAA11Jt7yn8oE_huE/view?usp=drive_link" TargetMode="External"/><Relationship Id="rId63" Type="http://schemas.openxmlformats.org/officeDocument/2006/relationships/hyperlink" Target="https://github.com/Australian-Text-Analytics-Platform/keywords-analysis/blob/main/documents/keywords_help_pages.pdf" TargetMode="External"/><Relationship Id="rId66" Type="http://schemas.openxmlformats.org/officeDocument/2006/relationships/hyperlink" Target="https://w3id.org/ldac/profile" TargetMode="External"/><Relationship Id="rId65" Type="http://schemas.openxmlformats.org/officeDocument/2006/relationships/hyperlink" Target="https://github.com/Australian-Text-Analytics-Platform/keywords-analysis" TargetMode="External"/><Relationship Id="rId68" Type="http://schemas.openxmlformats.org/officeDocument/2006/relationships/hyperlink" Target="https://www.elararchive.org/uncategorized/SO_7557c4dd-1c83-485c-b95c-c0a292cfc42c/" TargetMode="External"/><Relationship Id="rId67" Type="http://schemas.openxmlformats.org/officeDocument/2006/relationships/hyperlink" Target="https://github.com/onset/laMETA/releases" TargetMode="External"/><Relationship Id="rId60" Type="http://schemas.openxmlformats.org/officeDocument/2006/relationships/hyperlink" Target="https://ladal.edu.au/tools.html" TargetMode="External"/><Relationship Id="rId69" Type="http://schemas.openxmlformats.org/officeDocument/2006/relationships/hyperlink" Target="https://github.com/onset/laMETA/releases" TargetMode="External"/><Relationship Id="rId51" Type="http://schemas.openxmlformats.org/officeDocument/2006/relationships/hyperlink" Target="https://w3id.org/ldac/profile" TargetMode="External"/><Relationship Id="rId50" Type="http://schemas.openxmlformats.org/officeDocument/2006/relationships/hyperlink" Target="https://ladal.edu.au/tools.html" TargetMode="External"/><Relationship Id="rId53" Type="http://schemas.openxmlformats.org/officeDocument/2006/relationships/hyperlink" Target="https://drive.google.com/file/d/1RlO2w5IzDgGiFU6JFtUeMhdeMdjc11dX/view?usp=drive_link" TargetMode="External"/><Relationship Id="rId52" Type="http://schemas.openxmlformats.org/officeDocument/2006/relationships/hyperlink" Target="https://github.com/Language-Research-Technology/image-dataset-explorer" TargetMode="External"/><Relationship Id="rId55" Type="http://schemas.openxmlformats.org/officeDocument/2006/relationships/hyperlink" Target="https://w3id.org/ldac/profile" TargetMode="External"/><Relationship Id="rId54" Type="http://schemas.openxmlformats.org/officeDocument/2006/relationships/hyperlink" Target="https://github.com/Language-Research-Technology/image-dataset-explorer" TargetMode="External"/><Relationship Id="rId57" Type="http://schemas.openxmlformats.org/officeDocument/2006/relationships/hyperlink" Target="https://ladal.edu.au/tools.html" TargetMode="External"/><Relationship Id="rId56" Type="http://schemas.openxmlformats.org/officeDocument/2006/relationships/hyperlink" Target="https://ladal.edu.au/tools.html" TargetMode="External"/><Relationship Id="rId59" Type="http://schemas.openxmlformats.org/officeDocument/2006/relationships/hyperlink" Target="https://ladal.edu.au/tools.html" TargetMode="External"/><Relationship Id="rId58" Type="http://schemas.openxmlformats.org/officeDocument/2006/relationships/hyperlink" Target="https://w3id.org/ldac/profile"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3id.org/ldac/profile" TargetMode="External"/><Relationship Id="rId10" Type="http://schemas.openxmlformats.org/officeDocument/2006/relationships/hyperlink" Target="https://w3id.org/ldac/profile" TargetMode="External"/><Relationship Id="rId13" Type="http://schemas.openxmlformats.org/officeDocument/2006/relationships/hyperlink" Target="https://github.com/Australian-Text-Analytics-Platform/notebook-ausreddit" TargetMode="External"/><Relationship Id="rId12" Type="http://schemas.openxmlformats.org/officeDocument/2006/relationships/hyperlink" Target="https://data.ldaca.edu.au/object?_id=https%3A%2F%2Fgithub.com%2FAustralian-Text-Analytics-Platform%2Fnotebook-ausreddit%2Fblob%2Fmain%2Fexploration.ipynb" TargetMode="External"/><Relationship Id="rId15" Type="http://schemas.openxmlformats.org/officeDocument/2006/relationships/hyperlink" Target="https://w3id.org/ldac/profile" TargetMode="External"/><Relationship Id="rId14" Type="http://schemas.openxmlformats.org/officeDocument/2006/relationships/hyperlink" Target="https://w3id.org/ldac/profile" TargetMode="External"/><Relationship Id="rId17" Type="http://schemas.openxmlformats.org/officeDocument/2006/relationships/hyperlink" Target="https://github.com/Australian-Text-Analytics-Platform/notebook-twittersphere" TargetMode="External"/><Relationship Id="rId16" Type="http://schemas.openxmlformats.org/officeDocument/2006/relationships/hyperlink" Target="https://data.ldaca.edu.au/object?_id=https%3A%2F%2Fgithub.com%2FAustralian-Text-Analytics-Platform%2Fnotebook-twittersphere%2Fblob%2Fmain%2Fexploration.ipynb" TargetMode="External"/><Relationship Id="rId18" Type="http://schemas.openxmlformats.org/officeDocument/2006/relationships/drawing" Target="../drawings/drawing6.xml"/><Relationship Id="rId1" Type="http://schemas.openxmlformats.org/officeDocument/2006/relationships/hyperlink" Target="https://w3id.org/ldac/profile" TargetMode="External"/><Relationship Id="rId2" Type="http://schemas.openxmlformats.org/officeDocument/2006/relationships/hyperlink" Target="https://w3id.org/ldac/profile" TargetMode="External"/><Relationship Id="rId3" Type="http://schemas.openxmlformats.org/officeDocument/2006/relationships/hyperlink" Target="https://github.com/Supertyp/Anonymising_ELAN_files" TargetMode="External"/><Relationship Id="rId4" Type="http://schemas.openxmlformats.org/officeDocument/2006/relationships/hyperlink" Target="https://github.com/Australian-Text-Analytics-Platform/cooee" TargetMode="External"/><Relationship Id="rId9" Type="http://schemas.openxmlformats.org/officeDocument/2006/relationships/hyperlink" Target="https://github.com/Australian-Text-Analytics-Platform/farms-to-freeways" TargetMode="External"/><Relationship Id="rId5" Type="http://schemas.openxmlformats.org/officeDocument/2006/relationships/hyperlink" Target="https://w3id.org/ldac/profile" TargetMode="External"/><Relationship Id="rId6" Type="http://schemas.openxmlformats.org/officeDocument/2006/relationships/hyperlink" Target="https://w3id.org/ldac/profile" TargetMode="External"/><Relationship Id="rId7" Type="http://schemas.openxmlformats.org/officeDocument/2006/relationships/hyperlink" Target="https://ror.org/019wvm592" TargetMode="External"/><Relationship Id="rId8" Type="http://schemas.openxmlformats.org/officeDocument/2006/relationships/hyperlink" Target="https://github.com/Australian-Text-Analytics-Platform/farms-to-freeway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ata.ldaca.edu.au/collection?id=arcp%3A%2F%2Fname%2Chdl10.25912~RDF_1754373503052&amp;_crateId=arcp%3A%2F%2Fname%2Chdl10.25912~RDF_1754373503052"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46.25"/>
  </cols>
  <sheetData>
    <row r="1">
      <c r="A1" s="1" t="s">
        <v>0</v>
      </c>
      <c r="B1" s="1" t="s">
        <v>1</v>
      </c>
    </row>
    <row r="2">
      <c r="A2" s="2" t="s">
        <v>2</v>
      </c>
      <c r="B2" s="3" t="s">
        <v>3</v>
      </c>
    </row>
    <row r="3">
      <c r="A3" s="2" t="s">
        <v>4</v>
      </c>
      <c r="B3" s="4" t="s">
        <v>5</v>
      </c>
    </row>
    <row r="4">
      <c r="A4" s="2" t="s">
        <v>6</v>
      </c>
      <c r="B4" s="5" t="s">
        <v>7</v>
      </c>
    </row>
    <row r="5">
      <c r="A5" s="2" t="s">
        <v>8</v>
      </c>
      <c r="B5" s="5" t="s">
        <v>9</v>
      </c>
    </row>
    <row r="6">
      <c r="A6" s="2" t="s">
        <v>10</v>
      </c>
      <c r="B6" s="3"/>
    </row>
    <row r="7">
      <c r="A7" s="2" t="s">
        <v>11</v>
      </c>
      <c r="B7" s="6" t="str">
        <f>Orgs_People!A7</f>
        <v>https://github.com/Language-Research-Technology</v>
      </c>
    </row>
    <row r="8">
      <c r="A8" s="2" t="s">
        <v>12</v>
      </c>
      <c r="B8" s="6" t="s">
        <v>13</v>
      </c>
    </row>
    <row r="9">
      <c r="A9" s="2" t="s">
        <v>14</v>
      </c>
      <c r="B9" s="6" t="str">
        <f>License!A2</f>
        <v>https://creativecommons.org/licenses/by/4.0/</v>
      </c>
    </row>
    <row r="10">
      <c r="A10" s="2" t="s">
        <v>15</v>
      </c>
      <c r="B10" s="7">
        <v>46123.0</v>
      </c>
    </row>
    <row r="11">
      <c r="A11" s="2" t="s">
        <v>16</v>
      </c>
      <c r="B11" s="3" t="s">
        <v>17</v>
      </c>
    </row>
    <row r="12">
      <c r="A12" s="2" t="s">
        <v>18</v>
      </c>
      <c r="B12" s="8" t="b">
        <v>1</v>
      </c>
    </row>
  </sheetData>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5.63"/>
  </cols>
  <sheetData>
    <row r="1">
      <c r="A1" s="2" t="s">
        <v>6</v>
      </c>
      <c r="B1" s="2" t="s">
        <v>2</v>
      </c>
    </row>
    <row r="2">
      <c r="A2" s="4" t="s">
        <v>19</v>
      </c>
      <c r="B2" s="6" t="s">
        <v>20</v>
      </c>
    </row>
    <row r="3">
      <c r="A3" s="4" t="s">
        <v>21</v>
      </c>
      <c r="B3" s="4" t="s">
        <v>22</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22.13"/>
    <col customWidth="1" min="3" max="3" width="36.25"/>
    <col customWidth="1" min="4" max="4" width="33.0"/>
    <col customWidth="1" min="5" max="5" width="19.88"/>
    <col customWidth="1" min="6" max="6" width="14.75"/>
  </cols>
  <sheetData>
    <row r="1">
      <c r="A1" s="2" t="s">
        <v>2</v>
      </c>
      <c r="B1" s="2" t="s">
        <v>4</v>
      </c>
      <c r="C1" s="2" t="s">
        <v>6</v>
      </c>
      <c r="D1" s="2" t="s">
        <v>8</v>
      </c>
      <c r="E1" s="2" t="s">
        <v>23</v>
      </c>
      <c r="F1" s="2" t="s">
        <v>24</v>
      </c>
    </row>
    <row r="2">
      <c r="A2" s="9" t="s">
        <v>25</v>
      </c>
      <c r="B2" s="4" t="s">
        <v>26</v>
      </c>
      <c r="C2" s="3" t="s">
        <v>27</v>
      </c>
      <c r="D2" s="3" t="s">
        <v>28</v>
      </c>
      <c r="E2" s="10" t="b">
        <v>1</v>
      </c>
      <c r="F2" s="4" t="s">
        <v>3</v>
      </c>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 customWidth="1" min="2" max="2" width="12.38"/>
    <col customWidth="1" min="3" max="3" width="47.38"/>
  </cols>
  <sheetData>
    <row r="1">
      <c r="A1" s="2" t="s">
        <v>2</v>
      </c>
      <c r="B1" s="2" t="s">
        <v>4</v>
      </c>
      <c r="C1" s="2" t="s">
        <v>6</v>
      </c>
    </row>
    <row r="2">
      <c r="A2" s="11" t="s">
        <v>13</v>
      </c>
      <c r="B2" s="4" t="s">
        <v>29</v>
      </c>
      <c r="C2" s="5" t="s">
        <v>30</v>
      </c>
    </row>
    <row r="3">
      <c r="A3" s="11" t="s">
        <v>31</v>
      </c>
      <c r="B3" s="4" t="s">
        <v>29</v>
      </c>
      <c r="C3" s="5" t="s">
        <v>32</v>
      </c>
    </row>
    <row r="4">
      <c r="A4" s="11" t="s">
        <v>33</v>
      </c>
      <c r="B4" s="4" t="s">
        <v>29</v>
      </c>
      <c r="C4" s="5" t="s">
        <v>34</v>
      </c>
    </row>
    <row r="5">
      <c r="A5" s="11" t="s">
        <v>35</v>
      </c>
      <c r="B5" s="4" t="s">
        <v>29</v>
      </c>
      <c r="C5" s="5" t="s">
        <v>36</v>
      </c>
    </row>
    <row r="6">
      <c r="A6" s="11" t="s">
        <v>37</v>
      </c>
      <c r="B6" s="4" t="s">
        <v>29</v>
      </c>
      <c r="C6" s="5" t="s">
        <v>38</v>
      </c>
    </row>
    <row r="7">
      <c r="A7" s="11" t="s">
        <v>39</v>
      </c>
      <c r="B7" s="4" t="s">
        <v>29</v>
      </c>
      <c r="C7" s="5" t="s">
        <v>40</v>
      </c>
    </row>
    <row r="8">
      <c r="A8" s="11" t="s">
        <v>41</v>
      </c>
      <c r="B8" s="4" t="s">
        <v>29</v>
      </c>
      <c r="C8" s="5" t="s">
        <v>42</v>
      </c>
    </row>
    <row r="9">
      <c r="A9" s="11" t="s">
        <v>43</v>
      </c>
      <c r="B9" s="4" t="s">
        <v>29</v>
      </c>
      <c r="C9" s="5" t="s">
        <v>44</v>
      </c>
    </row>
    <row r="10">
      <c r="A10" s="11" t="s">
        <v>45</v>
      </c>
      <c r="B10" s="12" t="s">
        <v>29</v>
      </c>
      <c r="C10" s="5" t="s">
        <v>46</v>
      </c>
    </row>
    <row r="11">
      <c r="A11" s="11" t="s">
        <v>47</v>
      </c>
      <c r="B11" s="12" t="s">
        <v>29</v>
      </c>
      <c r="C11" s="5" t="s">
        <v>48</v>
      </c>
    </row>
    <row r="12">
      <c r="A12" s="11" t="s">
        <v>49</v>
      </c>
      <c r="B12" s="4" t="s">
        <v>50</v>
      </c>
      <c r="C12" s="5" t="s">
        <v>51</v>
      </c>
    </row>
    <row r="13">
      <c r="A13" s="13" t="s">
        <v>52</v>
      </c>
      <c r="B13" s="4" t="s">
        <v>50</v>
      </c>
      <c r="C13" s="5" t="s">
        <v>53</v>
      </c>
    </row>
    <row r="14">
      <c r="A14" s="11" t="s">
        <v>54</v>
      </c>
      <c r="B14" s="4" t="s">
        <v>50</v>
      </c>
      <c r="C14" s="5" t="s">
        <v>55</v>
      </c>
    </row>
    <row r="15">
      <c r="A15" s="11" t="s">
        <v>56</v>
      </c>
      <c r="B15" s="4" t="s">
        <v>50</v>
      </c>
      <c r="C15" s="5" t="s">
        <v>57</v>
      </c>
    </row>
    <row r="16">
      <c r="A16" s="11" t="s">
        <v>58</v>
      </c>
      <c r="B16" s="4" t="s">
        <v>50</v>
      </c>
      <c r="C16" s="5" t="s">
        <v>59</v>
      </c>
    </row>
    <row r="17">
      <c r="A17" s="11" t="s">
        <v>60</v>
      </c>
      <c r="B17" s="4" t="s">
        <v>50</v>
      </c>
      <c r="C17" s="5" t="s">
        <v>61</v>
      </c>
    </row>
    <row r="18">
      <c r="A18" s="11" t="s">
        <v>62</v>
      </c>
      <c r="B18" s="4" t="s">
        <v>50</v>
      </c>
      <c r="C18" s="5" t="s">
        <v>63</v>
      </c>
    </row>
    <row r="19">
      <c r="A19" s="13" t="s">
        <v>64</v>
      </c>
      <c r="B19" s="4" t="s">
        <v>50</v>
      </c>
      <c r="C19" s="5" t="s">
        <v>65</v>
      </c>
    </row>
    <row r="20">
      <c r="A20" s="11" t="s">
        <v>66</v>
      </c>
      <c r="B20" s="4" t="s">
        <v>50</v>
      </c>
      <c r="C20" s="5" t="s">
        <v>67</v>
      </c>
    </row>
    <row r="21">
      <c r="A21" s="11" t="s">
        <v>68</v>
      </c>
      <c r="B21" s="4" t="s">
        <v>50</v>
      </c>
      <c r="C21" s="5" t="s">
        <v>69</v>
      </c>
    </row>
    <row r="22">
      <c r="A22" s="13" t="s">
        <v>70</v>
      </c>
      <c r="B22" s="4" t="s">
        <v>50</v>
      </c>
      <c r="C22" s="5" t="s">
        <v>71</v>
      </c>
    </row>
    <row r="23">
      <c r="A23" s="13" t="s">
        <v>72</v>
      </c>
      <c r="B23" s="4" t="s">
        <v>50</v>
      </c>
      <c r="C23" s="5" t="s">
        <v>73</v>
      </c>
    </row>
    <row r="24">
      <c r="A24" s="13" t="s">
        <v>74</v>
      </c>
      <c r="B24" s="4" t="s">
        <v>50</v>
      </c>
      <c r="C24" s="5" t="s">
        <v>75</v>
      </c>
    </row>
    <row r="25">
      <c r="A25" s="13" t="s">
        <v>76</v>
      </c>
      <c r="B25" s="4" t="s">
        <v>50</v>
      </c>
      <c r="C25" s="5" t="s">
        <v>77</v>
      </c>
    </row>
    <row r="26">
      <c r="A26" s="13" t="s">
        <v>78</v>
      </c>
      <c r="B26" s="4" t="s">
        <v>50</v>
      </c>
      <c r="C26" s="5" t="s">
        <v>79</v>
      </c>
    </row>
    <row r="27">
      <c r="A27" s="14"/>
    </row>
  </sheetData>
  <hyperlinks>
    <hyperlink r:id="rId1" ref="A2"/>
    <hyperlink r:id="rId2" ref="A10"/>
    <hyperlink r:id="rId3" ref="A11"/>
    <hyperlink r:id="rId4" ref="A12"/>
    <hyperlink r:id="rId5" ref="A13"/>
    <hyperlink r:id="rId6" ref="A15"/>
    <hyperlink r:id="rId7" ref="A16"/>
    <hyperlink r:id="rId8" ref="A17"/>
    <hyperlink r:id="rId9" ref="A18"/>
    <hyperlink r:id="rId10" ref="A19"/>
    <hyperlink r:id="rId11" ref="A20"/>
    <hyperlink r:id="rId12" ref="A22"/>
    <hyperlink r:id="rId13" ref="A23"/>
    <hyperlink r:id="rId14" ref="A24"/>
    <hyperlink r:id="rId15" ref="A25"/>
    <hyperlink r:id="rId16" ref="A26"/>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3" max="3" width="43.0"/>
    <col customWidth="1" min="4" max="4" width="25.38"/>
    <col customWidth="1" min="5" max="5" width="20.25"/>
  </cols>
  <sheetData>
    <row r="1">
      <c r="A1" s="15" t="s">
        <v>2</v>
      </c>
      <c r="B1" s="15" t="s">
        <v>4</v>
      </c>
      <c r="C1" s="16" t="s">
        <v>80</v>
      </c>
      <c r="D1" s="16" t="s">
        <v>81</v>
      </c>
      <c r="E1" s="16" t="s">
        <v>6</v>
      </c>
      <c r="F1" s="16" t="s">
        <v>15</v>
      </c>
      <c r="G1" s="16" t="s">
        <v>82</v>
      </c>
      <c r="H1" s="16" t="s">
        <v>83</v>
      </c>
      <c r="I1" s="17" t="s">
        <v>12</v>
      </c>
      <c r="J1" s="17" t="s">
        <v>12</v>
      </c>
      <c r="K1" s="17" t="s">
        <v>12</v>
      </c>
      <c r="L1" s="17" t="s">
        <v>11</v>
      </c>
      <c r="M1" s="17" t="s">
        <v>11</v>
      </c>
      <c r="N1" s="17" t="s">
        <v>84</v>
      </c>
      <c r="O1" s="18" t="s">
        <v>85</v>
      </c>
      <c r="P1" s="16" t="s">
        <v>8</v>
      </c>
      <c r="Q1" s="17" t="s">
        <v>86</v>
      </c>
      <c r="R1" s="17" t="s">
        <v>87</v>
      </c>
      <c r="S1" s="16" t="s">
        <v>88</v>
      </c>
      <c r="T1" s="17" t="s">
        <v>89</v>
      </c>
      <c r="U1" s="17" t="s">
        <v>90</v>
      </c>
      <c r="V1" s="17" t="s">
        <v>91</v>
      </c>
      <c r="W1" s="19" t="s">
        <v>92</v>
      </c>
      <c r="X1" s="17" t="s">
        <v>93</v>
      </c>
      <c r="Y1" s="16" t="s">
        <v>94</v>
      </c>
    </row>
    <row r="2">
      <c r="A2" s="20" t="str">
        <f t="shared" ref="A2:A33" si="1">"arcp://name," &amp; SUBSTITUTE(SUBSTITUTE(SUBSTITUTE(E2, " ", ""), "(", ""), ")", "")</f>
        <v>arcp://name,AnonymisingELANFiles</v>
      </c>
      <c r="B2" s="21" t="s">
        <v>95</v>
      </c>
      <c r="C2" s="22" t="s">
        <v>96</v>
      </c>
      <c r="D2" s="20" t="str">
        <f>RootDataset!$B$2</f>
        <v>./</v>
      </c>
      <c r="E2" s="20" t="s">
        <v>97</v>
      </c>
      <c r="F2" s="7">
        <v>46123.0</v>
      </c>
      <c r="G2" s="23"/>
      <c r="H2" s="23"/>
      <c r="I2" s="24" t="str">
        <f>Orgs_People!$A$3</f>
        <v>https://ror.org/019wvm592</v>
      </c>
      <c r="J2" s="25"/>
      <c r="K2" s="25"/>
      <c r="L2" s="24" t="str">
        <f>Orgs_People!$A$22</f>
        <v>https://orcid.org/0000-0003-4904-2941</v>
      </c>
      <c r="M2" s="25"/>
      <c r="N2" s="25" t="s">
        <v>98</v>
      </c>
      <c r="O2" s="26" t="s">
        <v>99</v>
      </c>
      <c r="P2" s="25" t="s">
        <v>100</v>
      </c>
      <c r="Q2" s="25" t="s">
        <v>101</v>
      </c>
      <c r="R2" s="23"/>
      <c r="S2" s="23"/>
      <c r="T2" s="25" t="s">
        <v>102</v>
      </c>
      <c r="U2" s="23"/>
      <c r="V2" s="23"/>
      <c r="W2" s="26" t="s">
        <v>99</v>
      </c>
      <c r="X2" s="23"/>
      <c r="Y2" s="23"/>
    </row>
    <row r="3">
      <c r="A3" s="20" t="str">
        <f t="shared" si="1"/>
        <v>arcp://name,CollocationAnalyser</v>
      </c>
      <c r="B3" s="21" t="s">
        <v>95</v>
      </c>
      <c r="C3" s="22" t="s">
        <v>96</v>
      </c>
      <c r="D3" s="20" t="str">
        <f>RootDataset!$B$2</f>
        <v>./</v>
      </c>
      <c r="E3" s="20" t="s">
        <v>103</v>
      </c>
      <c r="F3" s="7">
        <v>46123.0</v>
      </c>
      <c r="G3" s="23"/>
      <c r="H3" s="23"/>
      <c r="I3" s="24" t="str">
        <f>Orgs_People!$A$2</f>
        <v>https://ror.org/00rqy9422</v>
      </c>
      <c r="J3" s="24" t="str">
        <f>Orgs_People!$A$10</f>
        <v>https://github.com/SLCLADAL/ladal</v>
      </c>
      <c r="K3" s="25"/>
      <c r="L3" s="24" t="str">
        <f>Orgs_People!$A$16</f>
        <v>https://orcid.org/0000-0003-1923-9153</v>
      </c>
      <c r="M3" s="25"/>
      <c r="N3" s="25" t="s">
        <v>104</v>
      </c>
      <c r="O3" s="26" t="s">
        <v>105</v>
      </c>
      <c r="P3" s="25" t="s">
        <v>106</v>
      </c>
      <c r="Q3" s="25" t="s">
        <v>107</v>
      </c>
      <c r="R3" s="23"/>
      <c r="S3" s="23"/>
      <c r="T3" s="25" t="s">
        <v>108</v>
      </c>
      <c r="U3" s="23"/>
      <c r="V3" s="23"/>
      <c r="W3" s="26" t="s">
        <v>109</v>
      </c>
      <c r="X3" s="23"/>
      <c r="Y3" s="23"/>
    </row>
    <row r="4">
      <c r="A4" s="20" t="str">
        <f t="shared" si="1"/>
        <v>arcp://name,CollocationCalculator</v>
      </c>
      <c r="B4" s="21" t="s">
        <v>95</v>
      </c>
      <c r="C4" s="22" t="s">
        <v>96</v>
      </c>
      <c r="D4" s="20" t="str">
        <f>RootDataset!$B$2</f>
        <v>./</v>
      </c>
      <c r="E4" s="20" t="s">
        <v>110</v>
      </c>
      <c r="F4" s="7">
        <v>46123.0</v>
      </c>
      <c r="G4" s="23"/>
      <c r="H4" s="27"/>
      <c r="I4" s="24" t="str">
        <f>Orgs_People!$A$2</f>
        <v>https://ror.org/00rqy9422</v>
      </c>
      <c r="J4" s="24" t="str">
        <f>Orgs_People!$A$10</f>
        <v>https://github.com/SLCLADAL/ladal</v>
      </c>
      <c r="K4" s="25"/>
      <c r="L4" s="24" t="str">
        <f>Orgs_People!$A$16</f>
        <v>https://orcid.org/0000-0003-1923-9153</v>
      </c>
      <c r="M4" s="25"/>
      <c r="N4" s="25" t="s">
        <v>111</v>
      </c>
      <c r="O4" s="26" t="s">
        <v>112</v>
      </c>
      <c r="P4" s="25" t="s">
        <v>113</v>
      </c>
      <c r="Q4" s="25" t="s">
        <v>107</v>
      </c>
      <c r="R4" s="23"/>
      <c r="S4" s="23"/>
      <c r="T4" s="25" t="s">
        <v>108</v>
      </c>
      <c r="U4" s="23"/>
      <c r="V4" s="23"/>
      <c r="W4" s="26" t="s">
        <v>114</v>
      </c>
      <c r="X4" s="23"/>
      <c r="Y4" s="23"/>
    </row>
    <row r="5">
      <c r="A5" s="20" t="str">
        <f t="shared" si="1"/>
        <v>arcp://name,ConcordanceExplorer</v>
      </c>
      <c r="B5" s="21" t="s">
        <v>95</v>
      </c>
      <c r="C5" s="22" t="s">
        <v>96</v>
      </c>
      <c r="D5" s="20" t="str">
        <f>RootDataset!$B$2</f>
        <v>./</v>
      </c>
      <c r="E5" s="20" t="s">
        <v>115</v>
      </c>
      <c r="F5" s="7">
        <v>46123.0</v>
      </c>
      <c r="G5" s="23"/>
      <c r="H5" s="27"/>
      <c r="I5" s="24" t="str">
        <f>Orgs_People!$A$2</f>
        <v>https://ror.org/00rqy9422</v>
      </c>
      <c r="J5" s="24" t="str">
        <f>Orgs_People!$A$10</f>
        <v>https://github.com/SLCLADAL/ladal</v>
      </c>
      <c r="K5" s="25"/>
      <c r="L5" s="24" t="str">
        <f>Orgs_People!$A$16</f>
        <v>https://orcid.org/0000-0003-1923-9153</v>
      </c>
      <c r="M5" s="25"/>
      <c r="N5" s="25" t="s">
        <v>104</v>
      </c>
      <c r="O5" s="26" t="s">
        <v>105</v>
      </c>
      <c r="P5" s="25" t="s">
        <v>116</v>
      </c>
      <c r="Q5" s="25" t="s">
        <v>107</v>
      </c>
      <c r="R5" s="23"/>
      <c r="S5" s="23"/>
      <c r="T5" s="25" t="s">
        <v>117</v>
      </c>
      <c r="U5" s="23"/>
      <c r="V5" s="23"/>
      <c r="W5" s="26" t="s">
        <v>118</v>
      </c>
      <c r="X5" s="23"/>
      <c r="Y5" s="23"/>
    </row>
    <row r="6">
      <c r="A6" s="20" t="str">
        <f t="shared" si="1"/>
        <v>arcp://name,Concordancer</v>
      </c>
      <c r="B6" s="21" t="s">
        <v>95</v>
      </c>
      <c r="C6" s="22" t="s">
        <v>96</v>
      </c>
      <c r="D6" s="20" t="str">
        <f>RootDataset!$B$2</f>
        <v>./</v>
      </c>
      <c r="E6" s="20" t="s">
        <v>119</v>
      </c>
      <c r="F6" s="7">
        <v>46123.0</v>
      </c>
      <c r="G6" s="23"/>
      <c r="H6" s="25" t="s">
        <v>120</v>
      </c>
      <c r="I6" s="24" t="str">
        <f>Orgs_People!$A$5</f>
        <v>https://ror.org/0384j8v12</v>
      </c>
      <c r="J6" s="28" t="str">
        <f>Orgs_People!$A$8</f>
        <v>https://github.com/Sydney-Informatics-Hub</v>
      </c>
      <c r="K6" s="29"/>
      <c r="L6" s="28" t="str">
        <f>Orgs_People!A15</f>
        <v>https://orcid.org/0000-0002-3616-6235</v>
      </c>
      <c r="M6" s="25"/>
      <c r="N6" s="25" t="s">
        <v>98</v>
      </c>
      <c r="O6" s="30" t="s">
        <v>121</v>
      </c>
      <c r="P6" s="25" t="s">
        <v>122</v>
      </c>
      <c r="Q6" s="25" t="s">
        <v>123</v>
      </c>
      <c r="R6" s="30" t="s">
        <v>124</v>
      </c>
      <c r="S6" s="25" t="s">
        <v>125</v>
      </c>
      <c r="T6" s="25" t="s">
        <v>126</v>
      </c>
      <c r="U6" s="23"/>
      <c r="V6" s="31" t="s">
        <v>127</v>
      </c>
      <c r="W6" s="26" t="s">
        <v>121</v>
      </c>
      <c r="X6" s="23"/>
      <c r="Y6" s="23"/>
    </row>
    <row r="7">
      <c r="A7" s="20" t="str">
        <f t="shared" si="1"/>
        <v>arcp://name,Crate-O</v>
      </c>
      <c r="B7" s="21" t="s">
        <v>95</v>
      </c>
      <c r="C7" s="22" t="s">
        <v>96</v>
      </c>
      <c r="D7" s="20" t="str">
        <f>RootDataset!$B$2</f>
        <v>./</v>
      </c>
      <c r="E7" s="20" t="s">
        <v>128</v>
      </c>
      <c r="F7" s="7">
        <v>46123.0</v>
      </c>
      <c r="G7" s="23"/>
      <c r="H7" s="25" t="s">
        <v>129</v>
      </c>
      <c r="I7" s="24" t="str">
        <f>Orgs_People!A2</f>
        <v>https://ror.org/00rqy9422</v>
      </c>
      <c r="J7" s="24" t="str">
        <f>Orgs_People!A7</f>
        <v>https://github.com/Language-Research-Technology</v>
      </c>
      <c r="K7" s="25"/>
      <c r="L7" s="24" t="str">
        <f>Orgs_People!A17</f>
        <v>https://orcid.org/0000-0002-4438-2755</v>
      </c>
      <c r="M7" s="25"/>
      <c r="N7" s="25" t="s">
        <v>111</v>
      </c>
      <c r="O7" s="26" t="s">
        <v>130</v>
      </c>
      <c r="P7" s="25" t="s">
        <v>131</v>
      </c>
      <c r="Q7" s="25" t="s">
        <v>132</v>
      </c>
      <c r="R7" s="26" t="s">
        <v>133</v>
      </c>
      <c r="S7" s="23"/>
      <c r="T7" s="25" t="s">
        <v>134</v>
      </c>
      <c r="U7" s="25" t="s">
        <v>135</v>
      </c>
      <c r="V7" s="31" t="s">
        <v>136</v>
      </c>
      <c r="W7" s="26" t="s">
        <v>130</v>
      </c>
      <c r="X7" s="23"/>
      <c r="Y7" s="23"/>
    </row>
    <row r="8">
      <c r="A8" s="20" t="str">
        <f t="shared" si="1"/>
        <v>arcp://name,Discursis</v>
      </c>
      <c r="B8" s="21" t="s">
        <v>95</v>
      </c>
      <c r="C8" s="22" t="s">
        <v>96</v>
      </c>
      <c r="D8" s="20" t="str">
        <f>RootDataset!$B$2</f>
        <v>./</v>
      </c>
      <c r="E8" s="20" t="s">
        <v>137</v>
      </c>
      <c r="F8" s="7">
        <v>46123.0</v>
      </c>
      <c r="G8" s="23"/>
      <c r="H8" s="23"/>
      <c r="I8" s="24" t="str">
        <f>Orgs_People!$A$5</f>
        <v>https://ror.org/0384j8v12</v>
      </c>
      <c r="J8" s="28" t="str">
        <f>Orgs_People!$A$8</f>
        <v>https://github.com/Sydney-Informatics-Hub</v>
      </c>
      <c r="K8" s="32"/>
      <c r="L8" s="32"/>
      <c r="M8" s="25"/>
      <c r="N8" s="25" t="s">
        <v>98</v>
      </c>
      <c r="O8" s="30" t="s">
        <v>138</v>
      </c>
      <c r="P8" s="25" t="s">
        <v>139</v>
      </c>
      <c r="Q8" s="25" t="s">
        <v>140</v>
      </c>
      <c r="R8" s="30" t="s">
        <v>141</v>
      </c>
      <c r="S8" s="25" t="s">
        <v>142</v>
      </c>
      <c r="T8" s="25" t="s">
        <v>139</v>
      </c>
      <c r="U8" s="23"/>
      <c r="V8" s="31" t="s">
        <v>143</v>
      </c>
      <c r="W8" s="26" t="s">
        <v>138</v>
      </c>
      <c r="X8" s="23"/>
      <c r="Y8" s="25" t="s">
        <v>144</v>
      </c>
    </row>
    <row r="9">
      <c r="A9" s="20" t="str">
        <f t="shared" si="1"/>
        <v>arcp://name,DocumentSimilarity</v>
      </c>
      <c r="B9" s="21" t="s">
        <v>95</v>
      </c>
      <c r="C9" s="22" t="s">
        <v>96</v>
      </c>
      <c r="D9" s="20" t="str">
        <f>RootDataset!$B$2</f>
        <v>./</v>
      </c>
      <c r="E9" s="20" t="s">
        <v>145</v>
      </c>
      <c r="F9" s="7">
        <v>46123.0</v>
      </c>
      <c r="G9" s="23"/>
      <c r="H9" s="25" t="s">
        <v>146</v>
      </c>
      <c r="I9" s="24" t="str">
        <f>Orgs_People!$A$5</f>
        <v>https://ror.org/0384j8v12</v>
      </c>
      <c r="J9" s="28" t="str">
        <f>Orgs_People!$A$8</f>
        <v>https://github.com/Sydney-Informatics-Hub</v>
      </c>
      <c r="K9" s="29"/>
      <c r="L9" s="29" t="str">
        <f>Orgs_People!$A$21</f>
        <v>#SonyJufri</v>
      </c>
      <c r="M9" s="24" t="str">
        <f>Orgs_People!$A$12</f>
        <v>https://orcid.org/0000-0002-1428-2649</v>
      </c>
      <c r="N9" s="25" t="s">
        <v>98</v>
      </c>
      <c r="O9" s="30" t="s">
        <v>147</v>
      </c>
      <c r="P9" s="25" t="s">
        <v>148</v>
      </c>
      <c r="Q9" s="25" t="s">
        <v>123</v>
      </c>
      <c r="R9" s="30" t="s">
        <v>149</v>
      </c>
      <c r="S9" s="25" t="s">
        <v>150</v>
      </c>
      <c r="T9" s="25" t="s">
        <v>148</v>
      </c>
      <c r="U9" s="23"/>
      <c r="V9" s="31" t="s">
        <v>151</v>
      </c>
      <c r="W9" s="26" t="s">
        <v>147</v>
      </c>
      <c r="X9" s="23"/>
      <c r="Y9" s="23"/>
    </row>
    <row r="10">
      <c r="A10" s="20" t="str">
        <f t="shared" si="1"/>
        <v>arcp://name,ELANAnnotationSplitter</v>
      </c>
      <c r="B10" s="21" t="s">
        <v>95</v>
      </c>
      <c r="C10" s="22" t="s">
        <v>96</v>
      </c>
      <c r="D10" s="20" t="str">
        <f>RootDataset!$B$2</f>
        <v>./</v>
      </c>
      <c r="E10" s="20" t="s">
        <v>152</v>
      </c>
      <c r="F10" s="7">
        <v>46123.0</v>
      </c>
      <c r="G10" s="23"/>
      <c r="H10" s="23"/>
      <c r="I10" s="24" t="str">
        <f>Orgs_People!$A$3</f>
        <v>https://ror.org/019wvm592</v>
      </c>
      <c r="J10" s="25"/>
      <c r="K10" s="25"/>
      <c r="L10" s="24" t="str">
        <f>Orgs_People!$A$22</f>
        <v>https://orcid.org/0000-0003-4904-2941</v>
      </c>
      <c r="M10" s="25"/>
      <c r="N10" s="25" t="s">
        <v>153</v>
      </c>
      <c r="O10" s="26" t="s">
        <v>154</v>
      </c>
      <c r="P10" s="25" t="s">
        <v>155</v>
      </c>
      <c r="Q10" s="25" t="s">
        <v>101</v>
      </c>
      <c r="R10" s="23"/>
      <c r="S10" s="23"/>
      <c r="T10" s="25" t="s">
        <v>156</v>
      </c>
      <c r="U10" s="23"/>
      <c r="V10" s="23"/>
      <c r="W10" s="26" t="s">
        <v>154</v>
      </c>
      <c r="X10" s="23"/>
      <c r="Y10" s="23"/>
    </row>
    <row r="11">
      <c r="A11" s="20" t="str">
        <f t="shared" si="1"/>
        <v>arcp://name,ELANAudioSegmentation</v>
      </c>
      <c r="B11" s="21" t="s">
        <v>95</v>
      </c>
      <c r="C11" s="22" t="s">
        <v>96</v>
      </c>
      <c r="D11" s="20" t="str">
        <f>RootDataset!$B$2</f>
        <v>./</v>
      </c>
      <c r="E11" s="20" t="s">
        <v>157</v>
      </c>
      <c r="F11" s="7">
        <v>46123.0</v>
      </c>
      <c r="G11" s="23"/>
      <c r="H11" s="23"/>
      <c r="I11" s="24" t="str">
        <f>Orgs_People!$A$3</f>
        <v>https://ror.org/019wvm592</v>
      </c>
      <c r="J11" s="25"/>
      <c r="K11" s="25"/>
      <c r="L11" s="24" t="str">
        <f>Orgs_People!$A$22</f>
        <v>https://orcid.org/0000-0003-4904-2941</v>
      </c>
      <c r="M11" s="25"/>
      <c r="N11" s="25" t="s">
        <v>153</v>
      </c>
      <c r="O11" s="26" t="s">
        <v>154</v>
      </c>
      <c r="P11" s="25" t="s">
        <v>158</v>
      </c>
      <c r="Q11" s="25" t="s">
        <v>159</v>
      </c>
      <c r="R11" s="23"/>
      <c r="S11" s="23"/>
      <c r="T11" s="25" t="s">
        <v>160</v>
      </c>
      <c r="U11" s="23"/>
      <c r="V11" s="23"/>
      <c r="W11" s="26" t="s">
        <v>154</v>
      </c>
      <c r="X11" s="23"/>
      <c r="Y11" s="23"/>
    </row>
    <row r="12">
      <c r="A12" s="20" t="str">
        <f t="shared" si="1"/>
        <v>arcp://name,ELANCommander</v>
      </c>
      <c r="B12" s="21" t="s">
        <v>95</v>
      </c>
      <c r="C12" s="22" t="s">
        <v>96</v>
      </c>
      <c r="D12" s="20" t="str">
        <f>RootDataset!$B$2</f>
        <v>./</v>
      </c>
      <c r="E12" s="20" t="s">
        <v>161</v>
      </c>
      <c r="F12" s="7">
        <v>46123.0</v>
      </c>
      <c r="G12" s="23"/>
      <c r="H12" s="23"/>
      <c r="I12" s="24" t="str">
        <f>Orgs_People!$A$3</f>
        <v>https://ror.org/019wvm592</v>
      </c>
      <c r="J12" s="25"/>
      <c r="K12" s="25"/>
      <c r="L12" s="24" t="str">
        <f>Orgs_People!$A$22</f>
        <v>https://orcid.org/0000-0003-4904-2941</v>
      </c>
      <c r="M12" s="25"/>
      <c r="N12" s="25" t="s">
        <v>111</v>
      </c>
      <c r="O12" s="26" t="s">
        <v>162</v>
      </c>
      <c r="P12" s="25" t="s">
        <v>163</v>
      </c>
      <c r="Q12" s="25" t="s">
        <v>101</v>
      </c>
      <c r="R12" s="23"/>
      <c r="S12" s="23"/>
      <c r="T12" s="25" t="s">
        <v>164</v>
      </c>
      <c r="U12" s="23"/>
      <c r="V12" s="23"/>
      <c r="W12" s="26" t="s">
        <v>162</v>
      </c>
      <c r="X12" s="23"/>
      <c r="Y12" s="23"/>
    </row>
    <row r="13">
      <c r="A13" s="20" t="str">
        <f t="shared" si="1"/>
        <v>arcp://name,ELANInventory</v>
      </c>
      <c r="B13" s="21" t="s">
        <v>95</v>
      </c>
      <c r="C13" s="22" t="s">
        <v>96</v>
      </c>
      <c r="D13" s="20" t="str">
        <f>RootDataset!$B$2</f>
        <v>./</v>
      </c>
      <c r="E13" s="20" t="s">
        <v>165</v>
      </c>
      <c r="F13" s="7">
        <v>46123.0</v>
      </c>
      <c r="G13" s="23"/>
      <c r="H13" s="23"/>
      <c r="I13" s="24" t="str">
        <f>Orgs_People!$A$3</f>
        <v>https://ror.org/019wvm592</v>
      </c>
      <c r="J13" s="25"/>
      <c r="K13" s="25"/>
      <c r="L13" s="24" t="str">
        <f>Orgs_People!$A$22</f>
        <v>https://orcid.org/0000-0003-4904-2941</v>
      </c>
      <c r="M13" s="25"/>
      <c r="N13" s="25" t="s">
        <v>111</v>
      </c>
      <c r="O13" s="26" t="s">
        <v>166</v>
      </c>
      <c r="P13" s="25" t="s">
        <v>167</v>
      </c>
      <c r="Q13" s="25" t="s">
        <v>101</v>
      </c>
      <c r="R13" s="23"/>
      <c r="S13" s="23"/>
      <c r="T13" s="25" t="s">
        <v>168</v>
      </c>
      <c r="U13" s="23"/>
      <c r="V13" s="23"/>
      <c r="W13" s="26" t="s">
        <v>166</v>
      </c>
      <c r="X13" s="23"/>
      <c r="Y13" s="23"/>
    </row>
    <row r="14">
      <c r="A14" s="20" t="str">
        <f t="shared" si="1"/>
        <v>arcp://name,ELANReplacer</v>
      </c>
      <c r="B14" s="21" t="s">
        <v>95</v>
      </c>
      <c r="C14" s="22" t="s">
        <v>96</v>
      </c>
      <c r="D14" s="20" t="str">
        <f>RootDataset!$B$2</f>
        <v>./</v>
      </c>
      <c r="E14" s="20" t="s">
        <v>169</v>
      </c>
      <c r="F14" s="7">
        <v>46123.0</v>
      </c>
      <c r="G14" s="23"/>
      <c r="H14" s="23"/>
      <c r="I14" s="24" t="str">
        <f>Orgs_People!$A$3</f>
        <v>https://ror.org/019wvm592</v>
      </c>
      <c r="J14" s="25"/>
      <c r="K14" s="25"/>
      <c r="L14" s="24" t="str">
        <f>Orgs_People!$A$22</f>
        <v>https://orcid.org/0000-0003-4904-2941</v>
      </c>
      <c r="M14" s="25"/>
      <c r="N14" s="25" t="s">
        <v>153</v>
      </c>
      <c r="O14" s="26" t="s">
        <v>154</v>
      </c>
      <c r="P14" s="25" t="s">
        <v>170</v>
      </c>
      <c r="Q14" s="25" t="s">
        <v>101</v>
      </c>
      <c r="R14" s="23"/>
      <c r="S14" s="23"/>
      <c r="T14" s="25" t="s">
        <v>171</v>
      </c>
      <c r="U14" s="23"/>
      <c r="V14" s="23"/>
      <c r="W14" s="26" t="s">
        <v>154</v>
      </c>
      <c r="X14" s="23"/>
      <c r="Y14" s="23"/>
    </row>
    <row r="15">
      <c r="A15" s="20" t="str">
        <f t="shared" si="1"/>
        <v>arcp://name,FileRenamer</v>
      </c>
      <c r="B15" s="21" t="s">
        <v>95</v>
      </c>
      <c r="C15" s="22" t="s">
        <v>96</v>
      </c>
      <c r="D15" s="20" t="str">
        <f>RootDataset!$B$2</f>
        <v>./</v>
      </c>
      <c r="E15" s="20" t="s">
        <v>172</v>
      </c>
      <c r="F15" s="7">
        <v>46123.0</v>
      </c>
      <c r="G15" s="23"/>
      <c r="H15" s="27"/>
      <c r="I15" s="24" t="str">
        <f>Orgs_People!$A$2</f>
        <v>https://ror.org/00rqy9422</v>
      </c>
      <c r="J15" s="24" t="str">
        <f>Orgs_People!$A$10</f>
        <v>https://github.com/SLCLADAL/ladal</v>
      </c>
      <c r="K15" s="25"/>
      <c r="L15" s="24" t="str">
        <f>Orgs_People!$A$16</f>
        <v>https://orcid.org/0000-0003-1923-9153</v>
      </c>
      <c r="M15" s="25"/>
      <c r="N15" s="25" t="s">
        <v>111</v>
      </c>
      <c r="O15" s="26" t="s">
        <v>112</v>
      </c>
      <c r="P15" s="25" t="s">
        <v>173</v>
      </c>
      <c r="Q15" s="25" t="s">
        <v>107</v>
      </c>
      <c r="R15" s="23"/>
      <c r="S15" s="23"/>
      <c r="T15" s="25" t="s">
        <v>174</v>
      </c>
      <c r="U15" s="23"/>
      <c r="V15" s="23"/>
      <c r="W15" s="26" t="s">
        <v>175</v>
      </c>
      <c r="X15" s="23"/>
      <c r="Y15" s="23"/>
    </row>
    <row r="16">
      <c r="A16" s="20" t="str">
        <f t="shared" si="1"/>
        <v>arcp://name,ImageDatasetExplorer</v>
      </c>
      <c r="B16" s="21" t="s">
        <v>95</v>
      </c>
      <c r="C16" s="22" t="s">
        <v>96</v>
      </c>
      <c r="D16" s="20" t="str">
        <f>RootDataset!$B$2</f>
        <v>./</v>
      </c>
      <c r="E16" s="20" t="s">
        <v>176</v>
      </c>
      <c r="F16" s="7">
        <v>46123.0</v>
      </c>
      <c r="G16" s="23"/>
      <c r="H16" s="23"/>
      <c r="I16" s="24" t="str">
        <f>Orgs_People!A2</f>
        <v>https://ror.org/00rqy9422</v>
      </c>
      <c r="J16" s="24" t="str">
        <f>Orgs_People!A11</f>
        <v>https://hass.uq.edu.au/centre-digital-cultures-societies</v>
      </c>
      <c r="K16" s="24" t="str">
        <f>Orgs_People!A7</f>
        <v>https://github.com/Language-Research-Technology</v>
      </c>
      <c r="L16" s="24" t="str">
        <f>Orgs_People!A13</f>
        <v>https://orcid.org/0009-0008-4603-9521</v>
      </c>
      <c r="M16" s="24" t="str">
        <f>Orgs_People!A20</f>
        <v>https://orcid.org/0000-0002-1824-2361</v>
      </c>
      <c r="N16" s="25" t="s">
        <v>98</v>
      </c>
      <c r="O16" s="26" t="s">
        <v>177</v>
      </c>
      <c r="P16" s="25" t="s">
        <v>178</v>
      </c>
      <c r="Q16" s="25" t="s">
        <v>179</v>
      </c>
      <c r="R16" s="23"/>
      <c r="S16" s="23"/>
      <c r="T16" s="25" t="s">
        <v>180</v>
      </c>
      <c r="U16" s="25" t="s">
        <v>181</v>
      </c>
      <c r="V16" s="31" t="s">
        <v>182</v>
      </c>
      <c r="W16" s="26" t="s">
        <v>177</v>
      </c>
      <c r="X16" s="23"/>
      <c r="Y16" s="23"/>
    </row>
    <row r="17">
      <c r="A17" s="20" t="str">
        <f t="shared" si="1"/>
        <v>arcp://name,KeywordFinder</v>
      </c>
      <c r="B17" s="21" t="s">
        <v>95</v>
      </c>
      <c r="C17" s="22" t="s">
        <v>96</v>
      </c>
      <c r="D17" s="20" t="str">
        <f>RootDataset!$B$2</f>
        <v>./</v>
      </c>
      <c r="E17" s="20" t="s">
        <v>183</v>
      </c>
      <c r="F17" s="7">
        <v>46123.0</v>
      </c>
      <c r="G17" s="23"/>
      <c r="H17" s="23"/>
      <c r="I17" s="24" t="str">
        <f>Orgs_People!$A$2</f>
        <v>https://ror.org/00rqy9422</v>
      </c>
      <c r="J17" s="24" t="str">
        <f>Orgs_People!$A$10</f>
        <v>https://github.com/SLCLADAL/ladal</v>
      </c>
      <c r="K17" s="25"/>
      <c r="L17" s="24" t="str">
        <f>Orgs_People!$A$16</f>
        <v>https://orcid.org/0000-0003-1923-9153</v>
      </c>
      <c r="M17" s="25"/>
      <c r="N17" s="25" t="s">
        <v>104</v>
      </c>
      <c r="O17" s="26" t="s">
        <v>105</v>
      </c>
      <c r="P17" s="25" t="s">
        <v>184</v>
      </c>
      <c r="Q17" s="25" t="s">
        <v>107</v>
      </c>
      <c r="R17" s="23"/>
      <c r="S17" s="23"/>
      <c r="T17" s="25" t="s">
        <v>185</v>
      </c>
      <c r="U17" s="23"/>
      <c r="V17" s="23"/>
      <c r="W17" s="26" t="s">
        <v>186</v>
      </c>
      <c r="X17" s="23"/>
      <c r="Y17" s="23"/>
    </row>
    <row r="18">
      <c r="A18" s="20" t="str">
        <f t="shared" si="1"/>
        <v>arcp://name,KeywordExtractor</v>
      </c>
      <c r="B18" s="21" t="s">
        <v>95</v>
      </c>
      <c r="C18" s="22" t="s">
        <v>96</v>
      </c>
      <c r="D18" s="20" t="str">
        <f>RootDataset!$B$2</f>
        <v>./</v>
      </c>
      <c r="E18" s="20" t="s">
        <v>187</v>
      </c>
      <c r="F18" s="7">
        <v>46123.0</v>
      </c>
      <c r="G18" s="23"/>
      <c r="H18" s="23"/>
      <c r="I18" s="24" t="str">
        <f>Orgs_People!$A$2</f>
        <v>https://ror.org/00rqy9422</v>
      </c>
      <c r="J18" s="24" t="str">
        <f>Orgs_People!$A$10</f>
        <v>https://github.com/SLCLADAL/ladal</v>
      </c>
      <c r="K18" s="25"/>
      <c r="L18" s="24" t="str">
        <f>Orgs_People!$A$16</f>
        <v>https://orcid.org/0000-0003-1923-9153</v>
      </c>
      <c r="M18" s="25"/>
      <c r="N18" s="25" t="s">
        <v>111</v>
      </c>
      <c r="O18" s="26" t="s">
        <v>112</v>
      </c>
      <c r="P18" s="25" t="s">
        <v>188</v>
      </c>
      <c r="Q18" s="25" t="s">
        <v>107</v>
      </c>
      <c r="R18" s="23"/>
      <c r="S18" s="23"/>
      <c r="T18" s="25" t="s">
        <v>189</v>
      </c>
      <c r="U18" s="23"/>
      <c r="V18" s="23"/>
      <c r="W18" s="26" t="s">
        <v>190</v>
      </c>
      <c r="X18" s="23"/>
      <c r="Y18" s="23"/>
    </row>
    <row r="19">
      <c r="A19" s="20" t="str">
        <f t="shared" si="1"/>
        <v>arcp://name,KeywordsAnalysis</v>
      </c>
      <c r="B19" s="21" t="s">
        <v>95</v>
      </c>
      <c r="C19" s="22" t="s">
        <v>96</v>
      </c>
      <c r="D19" s="20" t="str">
        <f>RootDataset!$B$2</f>
        <v>./</v>
      </c>
      <c r="E19" s="20" t="s">
        <v>191</v>
      </c>
      <c r="F19" s="7">
        <v>46123.0</v>
      </c>
      <c r="G19" s="23"/>
      <c r="H19" s="25" t="s">
        <v>120</v>
      </c>
      <c r="I19" s="24" t="str">
        <f>Orgs_People!$A$5</f>
        <v>https://ror.org/0384j8v12</v>
      </c>
      <c r="J19" s="28" t="str">
        <f>Orgs_People!$A$8</f>
        <v>https://github.com/Sydney-Informatics-Hub</v>
      </c>
      <c r="K19" s="29"/>
      <c r="L19" s="29" t="str">
        <f>Orgs_People!$A$21</f>
        <v>#SonyJufri</v>
      </c>
      <c r="M19" s="24" t="str">
        <f>Orgs_People!$A$12</f>
        <v>https://orcid.org/0000-0002-1428-2649</v>
      </c>
      <c r="N19" s="25" t="s">
        <v>98</v>
      </c>
      <c r="O19" s="30" t="s">
        <v>192</v>
      </c>
      <c r="P19" s="25" t="s">
        <v>193</v>
      </c>
      <c r="Q19" s="25" t="s">
        <v>123</v>
      </c>
      <c r="R19" s="30" t="s">
        <v>194</v>
      </c>
      <c r="S19" s="25" t="s">
        <v>195</v>
      </c>
      <c r="T19" s="25" t="s">
        <v>196</v>
      </c>
      <c r="U19" s="23"/>
      <c r="V19" s="31" t="s">
        <v>197</v>
      </c>
      <c r="W19" s="26" t="s">
        <v>192</v>
      </c>
      <c r="X19" s="23"/>
      <c r="Y19" s="23"/>
    </row>
    <row r="20">
      <c r="A20" s="20" t="str">
        <f t="shared" si="1"/>
        <v>arcp://name,Lameta</v>
      </c>
      <c r="B20" s="21" t="s">
        <v>95</v>
      </c>
      <c r="C20" s="22" t="s">
        <v>96</v>
      </c>
      <c r="D20" s="20" t="str">
        <f>RootDataset!$B$2</f>
        <v>./</v>
      </c>
      <c r="E20" s="20" t="s">
        <v>198</v>
      </c>
      <c r="F20" s="7">
        <v>46123.0</v>
      </c>
      <c r="G20" s="23"/>
      <c r="H20" s="25" t="s">
        <v>199</v>
      </c>
      <c r="I20" s="24" t="str">
        <f>Orgs_People!A4</f>
        <v>https://ror.org/01ej9dk98</v>
      </c>
      <c r="J20" s="25"/>
      <c r="K20" s="25"/>
      <c r="L20" s="25" t="str">
        <f>Orgs_People!A14</f>
        <v>#JohnHatton</v>
      </c>
      <c r="M20" s="24" t="str">
        <f>Orgs_People!A18</f>
        <v>https://orcid.org/0000-0001-8797-1018</v>
      </c>
      <c r="N20" s="25" t="s">
        <v>153</v>
      </c>
      <c r="O20" s="30" t="s">
        <v>200</v>
      </c>
      <c r="P20" s="25" t="s">
        <v>201</v>
      </c>
      <c r="Q20" s="25" t="s">
        <v>202</v>
      </c>
      <c r="R20" s="26" t="s">
        <v>203</v>
      </c>
      <c r="S20" s="24" t="s">
        <v>204</v>
      </c>
      <c r="T20" s="25" t="s">
        <v>205</v>
      </c>
      <c r="U20" s="25" t="s">
        <v>206</v>
      </c>
      <c r="V20" s="31" t="s">
        <v>207</v>
      </c>
      <c r="W20" s="26" t="s">
        <v>208</v>
      </c>
      <c r="X20" s="23"/>
      <c r="Y20" s="23"/>
    </row>
    <row r="21">
      <c r="A21" s="20" t="str">
        <f t="shared" si="1"/>
        <v>arcp://name,NetworkVisualiser</v>
      </c>
      <c r="B21" s="21" t="s">
        <v>95</v>
      </c>
      <c r="C21" s="22" t="s">
        <v>96</v>
      </c>
      <c r="D21" s="20" t="str">
        <f>RootDataset!$B$2</f>
        <v>./</v>
      </c>
      <c r="E21" s="20" t="s">
        <v>209</v>
      </c>
      <c r="F21" s="7">
        <v>46123.0</v>
      </c>
      <c r="G21" s="23"/>
      <c r="H21" s="23"/>
      <c r="I21" s="24" t="str">
        <f>Orgs_People!$A$2</f>
        <v>https://ror.org/00rqy9422</v>
      </c>
      <c r="J21" s="24" t="str">
        <f>Orgs_People!$A$10</f>
        <v>https://github.com/SLCLADAL/ladal</v>
      </c>
      <c r="K21" s="25"/>
      <c r="L21" s="24" t="str">
        <f>Orgs_People!$A$16</f>
        <v>https://orcid.org/0000-0003-1923-9153</v>
      </c>
      <c r="M21" s="25"/>
      <c r="N21" s="25" t="s">
        <v>104</v>
      </c>
      <c r="O21" s="26" t="s">
        <v>105</v>
      </c>
      <c r="P21" s="25" t="s">
        <v>210</v>
      </c>
      <c r="Q21" s="25" t="s">
        <v>211</v>
      </c>
      <c r="R21" s="23"/>
      <c r="S21" s="23"/>
      <c r="T21" s="25" t="s">
        <v>212</v>
      </c>
      <c r="U21" s="23"/>
      <c r="V21" s="23"/>
      <c r="W21" s="26" t="s">
        <v>213</v>
      </c>
      <c r="X21" s="23"/>
      <c r="Y21" s="25" t="s">
        <v>214</v>
      </c>
    </row>
    <row r="22">
      <c r="A22" s="20" t="str">
        <f t="shared" si="1"/>
        <v>arcp://name,Part-of-SpeechTagger</v>
      </c>
      <c r="B22" s="21" t="s">
        <v>95</v>
      </c>
      <c r="C22" s="22" t="s">
        <v>96</v>
      </c>
      <c r="D22" s="20" t="str">
        <f>RootDataset!$B$2</f>
        <v>./</v>
      </c>
      <c r="E22" s="20" t="s">
        <v>215</v>
      </c>
      <c r="F22" s="7">
        <v>46123.0</v>
      </c>
      <c r="G22" s="23"/>
      <c r="H22" s="23"/>
      <c r="I22" s="24" t="str">
        <f>Orgs_People!$A$2</f>
        <v>https://ror.org/00rqy9422</v>
      </c>
      <c r="J22" s="24" t="str">
        <f>Orgs_People!$A$10</f>
        <v>https://github.com/SLCLADAL/ladal</v>
      </c>
      <c r="K22" s="25"/>
      <c r="L22" s="24" t="str">
        <f>Orgs_People!$A$16</f>
        <v>https://orcid.org/0000-0003-1923-9153</v>
      </c>
      <c r="M22" s="25"/>
      <c r="N22" s="25" t="s">
        <v>104</v>
      </c>
      <c r="O22" s="26" t="s">
        <v>105</v>
      </c>
      <c r="P22" s="25" t="s">
        <v>216</v>
      </c>
      <c r="Q22" s="25" t="s">
        <v>107</v>
      </c>
      <c r="R22" s="23"/>
      <c r="S22" s="23"/>
      <c r="T22" s="25" t="s">
        <v>217</v>
      </c>
      <c r="U22" s="23"/>
      <c r="V22" s="23"/>
      <c r="W22" s="26" t="s">
        <v>218</v>
      </c>
      <c r="X22" s="23"/>
      <c r="Y22" s="23"/>
    </row>
    <row r="23">
      <c r="A23" s="20" t="str">
        <f t="shared" si="1"/>
        <v>arcp://name,POSTagger</v>
      </c>
      <c r="B23" s="21" t="s">
        <v>95</v>
      </c>
      <c r="C23" s="22" t="s">
        <v>96</v>
      </c>
      <c r="D23" s="20" t="str">
        <f>RootDataset!$B$2</f>
        <v>./</v>
      </c>
      <c r="E23" s="20" t="s">
        <v>219</v>
      </c>
      <c r="F23" s="7">
        <v>46123.0</v>
      </c>
      <c r="G23" s="23"/>
      <c r="H23" s="27"/>
      <c r="I23" s="24" t="str">
        <f>Orgs_People!$A$2</f>
        <v>https://ror.org/00rqy9422</v>
      </c>
      <c r="J23" s="24" t="str">
        <f>Orgs_People!$A$10</f>
        <v>https://github.com/SLCLADAL/ladal</v>
      </c>
      <c r="K23" s="25"/>
      <c r="L23" s="24" t="str">
        <f>Orgs_People!$A$16</f>
        <v>https://orcid.org/0000-0003-1923-9153</v>
      </c>
      <c r="M23" s="25"/>
      <c r="N23" s="25" t="s">
        <v>111</v>
      </c>
      <c r="O23" s="26" t="s">
        <v>112</v>
      </c>
      <c r="P23" s="25" t="s">
        <v>220</v>
      </c>
      <c r="Q23" s="25" t="s">
        <v>107</v>
      </c>
      <c r="R23" s="23"/>
      <c r="S23" s="23"/>
      <c r="T23" s="25" t="s">
        <v>217</v>
      </c>
      <c r="U23" s="23"/>
      <c r="V23" s="23"/>
      <c r="W23" s="26" t="s">
        <v>221</v>
      </c>
      <c r="X23" s="23"/>
      <c r="Y23" s="23"/>
    </row>
    <row r="24">
      <c r="A24" s="20" t="str">
        <f t="shared" si="1"/>
        <v>arcp://name,QuotationTool</v>
      </c>
      <c r="B24" s="21" t="s">
        <v>95</v>
      </c>
      <c r="C24" s="22" t="s">
        <v>96</v>
      </c>
      <c r="D24" s="20" t="str">
        <f>RootDataset!$B$2</f>
        <v>./</v>
      </c>
      <c r="E24" s="20" t="s">
        <v>222</v>
      </c>
      <c r="F24" s="7">
        <v>46123.0</v>
      </c>
      <c r="G24" s="23"/>
      <c r="H24" s="25" t="s">
        <v>223</v>
      </c>
      <c r="I24" s="24" t="str">
        <f>Orgs_People!$A$5</f>
        <v>https://ror.org/0384j8v12</v>
      </c>
      <c r="J24" s="28" t="str">
        <f>Orgs_People!$A$8</f>
        <v>https://github.com/Sydney-Informatics-Hub</v>
      </c>
      <c r="K24" s="29"/>
      <c r="L24" s="29" t="str">
        <f>Orgs_People!$A$21</f>
        <v>#SonyJufri</v>
      </c>
      <c r="M24" s="24" t="str">
        <f>Orgs_People!$A$12</f>
        <v>https://orcid.org/0000-0002-1428-2649</v>
      </c>
      <c r="N24" s="25" t="s">
        <v>98</v>
      </c>
      <c r="O24" s="30" t="s">
        <v>224</v>
      </c>
      <c r="P24" s="25" t="s">
        <v>225</v>
      </c>
      <c r="Q24" s="25" t="s">
        <v>123</v>
      </c>
      <c r="R24" s="30" t="s">
        <v>226</v>
      </c>
      <c r="S24" s="25" t="s">
        <v>227</v>
      </c>
      <c r="T24" s="25" t="s">
        <v>228</v>
      </c>
      <c r="U24" s="23"/>
      <c r="V24" s="31" t="s">
        <v>229</v>
      </c>
      <c r="W24" s="26" t="s">
        <v>224</v>
      </c>
      <c r="X24" s="23"/>
      <c r="Y24" s="23"/>
    </row>
    <row r="25">
      <c r="A25" s="20" t="str">
        <f t="shared" si="1"/>
        <v>arcp://name,SemanticTaggerEnglish</v>
      </c>
      <c r="B25" s="21" t="s">
        <v>95</v>
      </c>
      <c r="C25" s="22" t="s">
        <v>96</v>
      </c>
      <c r="D25" s="20" t="str">
        <f>RootDataset!$B$2</f>
        <v>./</v>
      </c>
      <c r="E25" s="20" t="s">
        <v>230</v>
      </c>
      <c r="F25" s="7">
        <v>46123.0</v>
      </c>
      <c r="G25" s="23"/>
      <c r="H25" s="25" t="s">
        <v>146</v>
      </c>
      <c r="I25" s="24" t="str">
        <f>Orgs_People!$A$5</f>
        <v>https://ror.org/0384j8v12</v>
      </c>
      <c r="J25" s="28" t="str">
        <f>Orgs_People!$A$8</f>
        <v>https://github.com/Sydney-Informatics-Hub</v>
      </c>
      <c r="K25" s="29"/>
      <c r="L25" s="29" t="str">
        <f>Orgs_People!$A$21</f>
        <v>#SonyJufri</v>
      </c>
      <c r="M25" s="24" t="str">
        <f>Orgs_People!$A$12</f>
        <v>https://orcid.org/0000-0002-1428-2649</v>
      </c>
      <c r="N25" s="25" t="s">
        <v>98</v>
      </c>
      <c r="O25" s="30" t="s">
        <v>231</v>
      </c>
      <c r="P25" s="25" t="s">
        <v>232</v>
      </c>
      <c r="Q25" s="25" t="s">
        <v>123</v>
      </c>
      <c r="R25" s="30" t="s">
        <v>233</v>
      </c>
      <c r="S25" s="24" t="s">
        <v>234</v>
      </c>
      <c r="T25" s="25" t="s">
        <v>235</v>
      </c>
      <c r="U25" s="23"/>
      <c r="V25" s="31" t="s">
        <v>236</v>
      </c>
      <c r="W25" s="26" t="s">
        <v>231</v>
      </c>
      <c r="X25" s="23"/>
      <c r="Y25" s="23"/>
    </row>
    <row r="26">
      <c r="A26" s="20" t="str">
        <f t="shared" si="1"/>
        <v>arcp://name,SentimentExplorer</v>
      </c>
      <c r="B26" s="21" t="s">
        <v>95</v>
      </c>
      <c r="C26" s="22" t="s">
        <v>96</v>
      </c>
      <c r="D26" s="20" t="str">
        <f>RootDataset!$B$2</f>
        <v>./</v>
      </c>
      <c r="E26" s="20" t="s">
        <v>237</v>
      </c>
      <c r="F26" s="7">
        <v>46123.0</v>
      </c>
      <c r="G26" s="23"/>
      <c r="H26" s="23"/>
      <c r="I26" s="24" t="str">
        <f>Orgs_People!$A$2</f>
        <v>https://ror.org/00rqy9422</v>
      </c>
      <c r="J26" s="24" t="str">
        <f>Orgs_People!$A$10</f>
        <v>https://github.com/SLCLADAL/ladal</v>
      </c>
      <c r="K26" s="25"/>
      <c r="L26" s="24" t="str">
        <f>Orgs_People!$A$16</f>
        <v>https://orcid.org/0000-0003-1923-9153</v>
      </c>
      <c r="M26" s="25"/>
      <c r="N26" s="25" t="s">
        <v>104</v>
      </c>
      <c r="O26" s="26" t="s">
        <v>105</v>
      </c>
      <c r="P26" s="25" t="s">
        <v>238</v>
      </c>
      <c r="Q26" s="25" t="s">
        <v>107</v>
      </c>
      <c r="R26" s="23"/>
      <c r="S26" s="23"/>
      <c r="T26" s="25" t="s">
        <v>239</v>
      </c>
      <c r="U26" s="23"/>
      <c r="V26" s="23"/>
      <c r="W26" s="26" t="s">
        <v>240</v>
      </c>
      <c r="X26" s="23"/>
      <c r="Y26" s="23"/>
    </row>
    <row r="27">
      <c r="A27" s="20" t="str">
        <f t="shared" si="1"/>
        <v>arcp://name,SentimentExplorer</v>
      </c>
      <c r="B27" s="21" t="s">
        <v>95</v>
      </c>
      <c r="C27" s="22" t="s">
        <v>96</v>
      </c>
      <c r="D27" s="20" t="str">
        <f>RootDataset!$B$2</f>
        <v>./</v>
      </c>
      <c r="E27" s="20" t="s">
        <v>241</v>
      </c>
      <c r="F27" s="7">
        <v>46123.0</v>
      </c>
      <c r="G27" s="23"/>
      <c r="H27" s="27"/>
      <c r="I27" s="24" t="str">
        <f>Orgs_People!$A$2</f>
        <v>https://ror.org/00rqy9422</v>
      </c>
      <c r="J27" s="24" t="str">
        <f>Orgs_People!$A$10</f>
        <v>https://github.com/SLCLADAL/ladal</v>
      </c>
      <c r="K27" s="25"/>
      <c r="L27" s="24" t="str">
        <f>Orgs_People!$A$16</f>
        <v>https://orcid.org/0000-0003-1923-9153</v>
      </c>
      <c r="M27" s="25"/>
      <c r="N27" s="25" t="s">
        <v>111</v>
      </c>
      <c r="O27" s="26" t="s">
        <v>112</v>
      </c>
      <c r="P27" s="25" t="s">
        <v>242</v>
      </c>
      <c r="Q27" s="25" t="s">
        <v>107</v>
      </c>
      <c r="R27" s="23"/>
      <c r="S27" s="23"/>
      <c r="T27" s="25" t="s">
        <v>239</v>
      </c>
      <c r="U27" s="23"/>
      <c r="V27" s="23"/>
      <c r="W27" s="26" t="s">
        <v>243</v>
      </c>
      <c r="X27" s="23"/>
      <c r="Y27" s="23"/>
    </row>
    <row r="28">
      <c r="A28" s="20" t="str">
        <f t="shared" si="1"/>
        <v>arcp://name,TextCleaner</v>
      </c>
      <c r="B28" s="21" t="s">
        <v>95</v>
      </c>
      <c r="C28" s="22" t="s">
        <v>96</v>
      </c>
      <c r="D28" s="20" t="str">
        <f>RootDataset!$B$2</f>
        <v>./</v>
      </c>
      <c r="E28" s="20" t="s">
        <v>244</v>
      </c>
      <c r="F28" s="7">
        <v>46123.0</v>
      </c>
      <c r="G28" s="23"/>
      <c r="H28" s="23"/>
      <c r="I28" s="24" t="str">
        <f>Orgs_People!$A$2</f>
        <v>https://ror.org/00rqy9422</v>
      </c>
      <c r="J28" s="24" t="str">
        <f>Orgs_People!$A$10</f>
        <v>https://github.com/SLCLADAL/ladal</v>
      </c>
      <c r="K28" s="25"/>
      <c r="L28" s="24" t="str">
        <f>Orgs_People!$A$16</f>
        <v>https://orcid.org/0000-0003-1923-9153</v>
      </c>
      <c r="M28" s="25"/>
      <c r="N28" s="25" t="s">
        <v>104</v>
      </c>
      <c r="O28" s="26" t="s">
        <v>105</v>
      </c>
      <c r="P28" s="25" t="s">
        <v>245</v>
      </c>
      <c r="Q28" s="25" t="s">
        <v>107</v>
      </c>
      <c r="R28" s="23"/>
      <c r="S28" s="23"/>
      <c r="T28" s="25" t="s">
        <v>246</v>
      </c>
      <c r="U28" s="23"/>
      <c r="V28" s="23"/>
      <c r="W28" s="26" t="s">
        <v>247</v>
      </c>
      <c r="X28" s="23"/>
      <c r="Y28" s="23"/>
    </row>
    <row r="29">
      <c r="A29" s="20" t="str">
        <f t="shared" si="1"/>
        <v>arcp://name,TextCleaner</v>
      </c>
      <c r="B29" s="21" t="s">
        <v>95</v>
      </c>
      <c r="C29" s="22" t="s">
        <v>96</v>
      </c>
      <c r="D29" s="20" t="str">
        <f>RootDataset!$B$2</f>
        <v>./</v>
      </c>
      <c r="E29" s="20" t="s">
        <v>248</v>
      </c>
      <c r="F29" s="7">
        <v>46123.0</v>
      </c>
      <c r="G29" s="23"/>
      <c r="H29" s="27"/>
      <c r="I29" s="24" t="str">
        <f>Orgs_People!$A$2</f>
        <v>https://ror.org/00rqy9422</v>
      </c>
      <c r="J29" s="24" t="str">
        <f>Orgs_People!$A$10</f>
        <v>https://github.com/SLCLADAL/ladal</v>
      </c>
      <c r="K29" s="25"/>
      <c r="L29" s="24" t="str">
        <f>Orgs_People!$A$16</f>
        <v>https://orcid.org/0000-0003-1923-9153</v>
      </c>
      <c r="M29" s="25"/>
      <c r="N29" s="25" t="s">
        <v>111</v>
      </c>
      <c r="O29" s="26" t="s">
        <v>112</v>
      </c>
      <c r="P29" s="25" t="s">
        <v>249</v>
      </c>
      <c r="Q29" s="25" t="s">
        <v>107</v>
      </c>
      <c r="R29" s="23"/>
      <c r="S29" s="23"/>
      <c r="T29" s="25" t="s">
        <v>250</v>
      </c>
      <c r="U29" s="23"/>
      <c r="V29" s="23"/>
      <c r="W29" s="26" t="s">
        <v>251</v>
      </c>
      <c r="X29" s="23"/>
      <c r="Y29" s="23"/>
    </row>
    <row r="30">
      <c r="A30" s="20" t="str">
        <f t="shared" si="1"/>
        <v>arcp://name,TopicExplorer</v>
      </c>
      <c r="B30" s="21" t="s">
        <v>95</v>
      </c>
      <c r="C30" s="22" t="s">
        <v>96</v>
      </c>
      <c r="D30" s="20" t="str">
        <f>RootDataset!$B$2</f>
        <v>./</v>
      </c>
      <c r="E30" s="20" t="s">
        <v>252</v>
      </c>
      <c r="F30" s="7">
        <v>46123.0</v>
      </c>
      <c r="G30" s="23"/>
      <c r="H30" s="23"/>
      <c r="I30" s="24" t="str">
        <f>Orgs_People!$A$2</f>
        <v>https://ror.org/00rqy9422</v>
      </c>
      <c r="J30" s="24" t="str">
        <f>Orgs_People!$A$10</f>
        <v>https://github.com/SLCLADAL/ladal</v>
      </c>
      <c r="K30" s="25"/>
      <c r="L30" s="24" t="str">
        <f>Orgs_People!$A$16</f>
        <v>https://orcid.org/0000-0003-1923-9153</v>
      </c>
      <c r="M30" s="25"/>
      <c r="N30" s="25" t="s">
        <v>104</v>
      </c>
      <c r="O30" s="26" t="s">
        <v>105</v>
      </c>
      <c r="P30" s="25" t="s">
        <v>253</v>
      </c>
      <c r="Q30" s="25" t="s">
        <v>107</v>
      </c>
      <c r="R30" s="23"/>
      <c r="S30" s="23"/>
      <c r="T30" s="25" t="s">
        <v>254</v>
      </c>
      <c r="U30" s="23"/>
      <c r="V30" s="23"/>
      <c r="W30" s="26" t="s">
        <v>255</v>
      </c>
      <c r="X30" s="23"/>
      <c r="Y30" s="23"/>
    </row>
    <row r="31">
      <c r="A31" s="20" t="str">
        <f t="shared" si="1"/>
        <v>arcp://name,TopicDetector</v>
      </c>
      <c r="B31" s="21" t="s">
        <v>95</v>
      </c>
      <c r="C31" s="22" t="s">
        <v>96</v>
      </c>
      <c r="D31" s="20" t="str">
        <f>RootDataset!$B$2</f>
        <v>./</v>
      </c>
      <c r="E31" s="20" t="s">
        <v>256</v>
      </c>
      <c r="F31" s="7">
        <v>46123.0</v>
      </c>
      <c r="G31" s="23"/>
      <c r="H31" s="27"/>
      <c r="I31" s="24" t="str">
        <f>Orgs_People!$A$2</f>
        <v>https://ror.org/00rqy9422</v>
      </c>
      <c r="J31" s="24" t="str">
        <f>Orgs_People!$A$10</f>
        <v>https://github.com/SLCLADAL/ladal</v>
      </c>
      <c r="K31" s="25"/>
      <c r="L31" s="24" t="str">
        <f>Orgs_People!$A$16</f>
        <v>https://orcid.org/0000-0003-1923-9153</v>
      </c>
      <c r="M31" s="25"/>
      <c r="N31" s="25" t="s">
        <v>111</v>
      </c>
      <c r="O31" s="26" t="s">
        <v>112</v>
      </c>
      <c r="P31" s="25" t="s">
        <v>257</v>
      </c>
      <c r="Q31" s="25" t="s">
        <v>107</v>
      </c>
      <c r="R31" s="23"/>
      <c r="S31" s="23"/>
      <c r="T31" s="25" t="s">
        <v>258</v>
      </c>
      <c r="U31" s="23"/>
      <c r="V31" s="23"/>
      <c r="W31" s="26" t="s">
        <v>259</v>
      </c>
      <c r="X31" s="23"/>
      <c r="Y31" s="23"/>
    </row>
    <row r="32">
      <c r="A32" s="20" t="str">
        <f t="shared" si="1"/>
        <v>arcp://name,WordFinder</v>
      </c>
      <c r="B32" s="21" t="s">
        <v>95</v>
      </c>
      <c r="C32" s="22" t="s">
        <v>96</v>
      </c>
      <c r="D32" s="20" t="str">
        <f>RootDataset!$B$2</f>
        <v>./</v>
      </c>
      <c r="E32" s="20" t="s">
        <v>260</v>
      </c>
      <c r="F32" s="7">
        <v>46123.0</v>
      </c>
      <c r="G32" s="23"/>
      <c r="H32" s="27"/>
      <c r="I32" s="24" t="str">
        <f>Orgs_People!$A$2</f>
        <v>https://ror.org/00rqy9422</v>
      </c>
      <c r="J32" s="24" t="str">
        <f>Orgs_People!$A$10</f>
        <v>https://github.com/SLCLADAL/ladal</v>
      </c>
      <c r="K32" s="25"/>
      <c r="L32" s="24" t="str">
        <f>Orgs_People!$A$16</f>
        <v>https://orcid.org/0000-0003-1923-9153</v>
      </c>
      <c r="M32" s="25"/>
      <c r="N32" s="25" t="s">
        <v>111</v>
      </c>
      <c r="O32" s="26" t="s">
        <v>112</v>
      </c>
      <c r="P32" s="25" t="s">
        <v>261</v>
      </c>
      <c r="Q32" s="25" t="s">
        <v>107</v>
      </c>
      <c r="R32" s="23"/>
      <c r="S32" s="23"/>
      <c r="T32" s="25" t="s">
        <v>262</v>
      </c>
      <c r="U32" s="23"/>
      <c r="V32" s="23"/>
      <c r="W32" s="26" t="s">
        <v>263</v>
      </c>
      <c r="X32" s="23"/>
      <c r="Y32" s="23"/>
    </row>
    <row r="33">
      <c r="A33" s="20" t="str">
        <f t="shared" si="1"/>
        <v>arcp://name,WordWebber</v>
      </c>
      <c r="B33" s="21" t="s">
        <v>95</v>
      </c>
      <c r="C33" s="22" t="s">
        <v>96</v>
      </c>
      <c r="D33" s="20" t="str">
        <f>RootDataset!$B$2</f>
        <v>./</v>
      </c>
      <c r="E33" s="20" t="s">
        <v>264</v>
      </c>
      <c r="F33" s="7">
        <v>46123.0</v>
      </c>
      <c r="G33" s="23"/>
      <c r="H33" s="27"/>
      <c r="I33" s="24" t="str">
        <f>Orgs_People!$A$2</f>
        <v>https://ror.org/00rqy9422</v>
      </c>
      <c r="J33" s="24" t="str">
        <f>Orgs_People!$A$10</f>
        <v>https://github.com/SLCLADAL/ladal</v>
      </c>
      <c r="K33" s="25"/>
      <c r="L33" s="24" t="str">
        <f>Orgs_People!$A$16</f>
        <v>https://orcid.org/0000-0003-1923-9153</v>
      </c>
      <c r="M33" s="25"/>
      <c r="N33" s="25" t="s">
        <v>111</v>
      </c>
      <c r="O33" s="26" t="s">
        <v>112</v>
      </c>
      <c r="P33" s="25" t="s">
        <v>265</v>
      </c>
      <c r="Q33" s="25" t="s">
        <v>211</v>
      </c>
      <c r="R33" s="23"/>
      <c r="S33" s="23"/>
      <c r="T33" s="25" t="s">
        <v>266</v>
      </c>
      <c r="U33" s="23"/>
      <c r="V33" s="23"/>
      <c r="W33" s="26" t="s">
        <v>267</v>
      </c>
      <c r="X33" s="23"/>
      <c r="Y33" s="25" t="s">
        <v>214</v>
      </c>
    </row>
  </sheetData>
  <autoFilter ref="$A$1:$Y$34"/>
  <hyperlinks>
    <hyperlink r:id="rId1" location="Person" ref="C2"/>
    <hyperlink r:id="rId2" ref="O2"/>
    <hyperlink r:id="rId3" ref="W2"/>
    <hyperlink r:id="rId4" location="Person" ref="C3"/>
    <hyperlink r:id="rId5" location="jupyter-tools" ref="O3"/>
    <hyperlink r:id="rId6" location="collocation-analyser" ref="W3"/>
    <hyperlink r:id="rId7" location="Person" ref="C4"/>
    <hyperlink r:id="rId8" location="shiny-tools" ref="O4"/>
    <hyperlink r:id="rId9" location="collocationcalculator" ref="W4"/>
    <hyperlink r:id="rId10" location="Person" ref="C5"/>
    <hyperlink r:id="rId11" location="jupyter-tools" ref="O5"/>
    <hyperlink r:id="rId12" location="concordance-explorer" ref="W5"/>
    <hyperlink r:id="rId13" location="Person" ref="C6"/>
    <hyperlink r:id="rId14" ref="O6"/>
    <hyperlink r:id="rId15" ref="R6"/>
    <hyperlink r:id="rId16" ref="V6"/>
    <hyperlink r:id="rId17" ref="W6"/>
    <hyperlink r:id="rId18" location="Person" ref="C7"/>
    <hyperlink r:id="rId19" ref="O7"/>
    <hyperlink r:id="rId20" ref="R7"/>
    <hyperlink r:id="rId21" ref="V7"/>
    <hyperlink r:id="rId22" ref="W7"/>
    <hyperlink r:id="rId23" location="Person" ref="C8"/>
    <hyperlink r:id="rId24" ref="O8"/>
    <hyperlink r:id="rId25" ref="R8"/>
    <hyperlink r:id="rId26" ref="V8"/>
    <hyperlink r:id="rId27" ref="W8"/>
    <hyperlink r:id="rId28" location="Person" ref="C9"/>
    <hyperlink r:id="rId29" ref="O9"/>
    <hyperlink r:id="rId30" ref="R9"/>
    <hyperlink r:id="rId31" ref="V9"/>
    <hyperlink r:id="rId32" ref="W9"/>
    <hyperlink r:id="rId33" location="Person" ref="C10"/>
    <hyperlink r:id="rId34" ref="O10"/>
    <hyperlink r:id="rId35" ref="W10"/>
    <hyperlink r:id="rId36" location="Person" ref="C11"/>
    <hyperlink r:id="rId37" ref="O11"/>
    <hyperlink r:id="rId38" ref="W11"/>
    <hyperlink r:id="rId39" location="Person" ref="C12"/>
    <hyperlink r:id="rId40" ref="O12"/>
    <hyperlink r:id="rId41" ref="W12"/>
    <hyperlink r:id="rId42" location="Person" ref="C13"/>
    <hyperlink r:id="rId43" ref="O13"/>
    <hyperlink r:id="rId44" ref="W13"/>
    <hyperlink r:id="rId45" location="Person" ref="C14"/>
    <hyperlink r:id="rId46" ref="O14"/>
    <hyperlink r:id="rId47" ref="W14"/>
    <hyperlink r:id="rId48" location="Person" ref="C15"/>
    <hyperlink r:id="rId49" location="shiny-tools" ref="O15"/>
    <hyperlink r:id="rId50" location="filerenamer" ref="W15"/>
    <hyperlink r:id="rId51" location="Person" ref="C16"/>
    <hyperlink r:id="rId52" ref="O16"/>
    <hyperlink r:id="rId53" ref="V16"/>
    <hyperlink r:id="rId54" ref="W16"/>
    <hyperlink r:id="rId55" location="Person" ref="C17"/>
    <hyperlink r:id="rId56" location="jupyter-tools" ref="O17"/>
    <hyperlink r:id="rId57" location="keyword-finder" ref="W17"/>
    <hyperlink r:id="rId58" location="Person" ref="C18"/>
    <hyperlink r:id="rId59" location="shiny-tools" ref="O18"/>
    <hyperlink r:id="rId60" location="keywordextractor" ref="W18"/>
    <hyperlink r:id="rId61" location="Person" ref="C19"/>
    <hyperlink r:id="rId62" ref="O19"/>
    <hyperlink r:id="rId63" ref="R19"/>
    <hyperlink r:id="rId64" ref="V19"/>
    <hyperlink r:id="rId65" ref="W19"/>
    <hyperlink r:id="rId66" location="Person" ref="C20"/>
    <hyperlink r:id="rId67" ref="O20"/>
    <hyperlink r:id="rId68" ref="R20"/>
    <hyperlink r:id="rId69" ref="S20"/>
    <hyperlink r:id="rId70" ref="V20"/>
    <hyperlink r:id="rId71" ref="W20"/>
    <hyperlink r:id="rId72" location="Person" ref="C21"/>
    <hyperlink r:id="rId73" location="jupyter-tools" ref="O21"/>
    <hyperlink r:id="rId74" location="network-visualiser" ref="W21"/>
    <hyperlink r:id="rId75" location="Person" ref="C22"/>
    <hyperlink r:id="rId76" location="jupyter-tools" ref="O22"/>
    <hyperlink r:id="rId77" location="part-of-speech-tagger" ref="W22"/>
    <hyperlink r:id="rId78" location="Person" ref="C23"/>
    <hyperlink r:id="rId79" location="shiny-tools" ref="O23"/>
    <hyperlink r:id="rId80" location="postagger" ref="W23"/>
    <hyperlink r:id="rId81" location="Person" ref="C24"/>
    <hyperlink r:id="rId82" ref="O24"/>
    <hyperlink r:id="rId83" ref="R24"/>
    <hyperlink r:id="rId84" ref="V24"/>
    <hyperlink r:id="rId85" ref="W24"/>
    <hyperlink r:id="rId86" location="Person" ref="C25"/>
    <hyperlink r:id="rId87" ref="O25"/>
    <hyperlink r:id="rId88" ref="R25"/>
    <hyperlink r:id="rId89" ref="S25"/>
    <hyperlink r:id="rId90" ref="V25"/>
    <hyperlink r:id="rId91" ref="W25"/>
    <hyperlink r:id="rId92" location="Person" ref="C26"/>
    <hyperlink r:id="rId93" location="jupyter-tools" ref="O26"/>
    <hyperlink r:id="rId94" location="sentiment-explorer" ref="W26"/>
    <hyperlink r:id="rId95" location="Person" ref="C27"/>
    <hyperlink r:id="rId96" location="shiny-tools" ref="O27"/>
    <hyperlink r:id="rId97" location="sentimentexplorer" ref="W27"/>
    <hyperlink r:id="rId98" location="Person" ref="C28"/>
    <hyperlink r:id="rId99" location="jupyter-tools" ref="O28"/>
    <hyperlink r:id="rId100" location="text-cleaner" ref="W28"/>
    <hyperlink r:id="rId101" location="Person" ref="C29"/>
    <hyperlink r:id="rId102" location="shiny-tools" ref="O29"/>
    <hyperlink r:id="rId103" location="textcleaner" ref="W29"/>
    <hyperlink r:id="rId104" location="Person" ref="C30"/>
    <hyperlink r:id="rId105" location="jupyter-tools" ref="O30"/>
    <hyperlink r:id="rId106" location="topic-explorer" ref="W30"/>
    <hyperlink r:id="rId107" location="Person" ref="C31"/>
    <hyperlink r:id="rId108" location="shiny-tools" ref="O31"/>
    <hyperlink r:id="rId109" location="topicdetector" ref="W31"/>
    <hyperlink r:id="rId110" location="Person" ref="C32"/>
    <hyperlink r:id="rId111" location="shiny-tools" ref="O32"/>
    <hyperlink r:id="rId112" location="wordfinder" ref="W32"/>
    <hyperlink r:id="rId113" location="Person" ref="C33"/>
    <hyperlink r:id="rId114" location="shiny-tools" ref="O33"/>
    <hyperlink r:id="rId115" location="wordwebber" ref="W33"/>
  </hyperlinks>
  <drawing r:id="rId1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3" width="20.25"/>
    <col customWidth="1" min="16" max="16" width="13.63"/>
  </cols>
  <sheetData>
    <row r="1">
      <c r="A1" s="16" t="s">
        <v>2</v>
      </c>
      <c r="B1" s="15" t="s">
        <v>268</v>
      </c>
      <c r="C1" s="15" t="s">
        <v>4</v>
      </c>
      <c r="D1" s="16" t="s">
        <v>80</v>
      </c>
      <c r="E1" s="16" t="s">
        <v>80</v>
      </c>
      <c r="F1" s="16" t="s">
        <v>81</v>
      </c>
      <c r="G1" s="16" t="s">
        <v>6</v>
      </c>
      <c r="H1" s="5" t="s">
        <v>269</v>
      </c>
      <c r="I1" s="16" t="s">
        <v>15</v>
      </c>
      <c r="J1" s="16" t="s">
        <v>82</v>
      </c>
      <c r="K1" s="16" t="s">
        <v>83</v>
      </c>
      <c r="L1" s="17" t="s">
        <v>270</v>
      </c>
      <c r="M1" s="17" t="s">
        <v>12</v>
      </c>
      <c r="N1" s="17" t="s">
        <v>12</v>
      </c>
      <c r="O1" s="17" t="s">
        <v>12</v>
      </c>
      <c r="P1" s="17" t="s">
        <v>271</v>
      </c>
      <c r="Q1" s="17" t="s">
        <v>271</v>
      </c>
      <c r="R1" s="17" t="s">
        <v>11</v>
      </c>
      <c r="S1" s="17" t="s">
        <v>84</v>
      </c>
      <c r="T1" s="18" t="s">
        <v>85</v>
      </c>
      <c r="U1" s="16" t="s">
        <v>8</v>
      </c>
      <c r="V1" s="17" t="s">
        <v>86</v>
      </c>
      <c r="W1" s="17" t="s">
        <v>87</v>
      </c>
      <c r="X1" s="16" t="s">
        <v>88</v>
      </c>
      <c r="Y1" s="17" t="s">
        <v>89</v>
      </c>
      <c r="Z1" s="17" t="s">
        <v>90</v>
      </c>
      <c r="AA1" s="17" t="s">
        <v>91</v>
      </c>
      <c r="AB1" s="19" t="s">
        <v>92</v>
      </c>
      <c r="AC1" s="17" t="s">
        <v>93</v>
      </c>
      <c r="AD1" s="16" t="s">
        <v>94</v>
      </c>
    </row>
    <row r="2">
      <c r="A2" s="33" t="str">
        <f t="shared" ref="A2:A5" si="1">T2</f>
        <v>https://github.com/Supertyp/Anonymising_ELAN_files</v>
      </c>
      <c r="B2" s="20" t="str">
        <f t="shared" ref="B2:B5" si="2">"arcp://name," &amp; SUBSTITUTE(SUBSTITUTE(SUBSTITUTE(G2, " ", ""), "(", ""), ")", "")</f>
        <v>arcp://name,COOEENotebook</v>
      </c>
      <c r="C2" s="21" t="s">
        <v>95</v>
      </c>
      <c r="D2" s="22" t="s">
        <v>96</v>
      </c>
      <c r="E2" s="34" t="s">
        <v>272</v>
      </c>
      <c r="F2" s="20" t="str">
        <f>RootDataset!$B$2</f>
        <v>./</v>
      </c>
      <c r="G2" s="21" t="s">
        <v>273</v>
      </c>
      <c r="H2" s="35" t="str">
        <f>Collections!A2</f>
        <v>arcp://name,hdl10.26180~23961609</v>
      </c>
      <c r="I2" s="7">
        <v>46123.0</v>
      </c>
      <c r="J2" s="23"/>
      <c r="K2" s="23"/>
      <c r="L2" s="36" t="s">
        <v>274</v>
      </c>
      <c r="M2" s="24" t="str">
        <f>Orgs_People!$A$3</f>
        <v>https://ror.org/019wvm592</v>
      </c>
      <c r="N2" s="25"/>
      <c r="O2" s="25"/>
      <c r="P2" s="37" t="s">
        <v>275</v>
      </c>
      <c r="Q2" s="38" t="s">
        <v>276</v>
      </c>
      <c r="R2" s="38" t="s">
        <v>277</v>
      </c>
      <c r="S2" s="25" t="s">
        <v>98</v>
      </c>
      <c r="T2" s="26" t="s">
        <v>99</v>
      </c>
      <c r="U2" s="38" t="s">
        <v>278</v>
      </c>
      <c r="V2" s="38" t="s">
        <v>279</v>
      </c>
      <c r="W2" s="23"/>
      <c r="X2" s="23"/>
      <c r="Y2" s="38" t="s">
        <v>280</v>
      </c>
      <c r="Z2" s="23"/>
      <c r="AA2" s="23"/>
      <c r="AB2" s="39" t="s">
        <v>281</v>
      </c>
      <c r="AC2" s="23"/>
      <c r="AD2" s="23"/>
    </row>
    <row r="3">
      <c r="A3" s="33" t="str">
        <f t="shared" si="1"/>
        <v>https://github.com/Australian-Text-Analytics-Platform/farms-to-freeways</v>
      </c>
      <c r="B3" s="20" t="str">
        <f t="shared" si="2"/>
        <v>arcp://name,Farmstofreewaysnotebook</v>
      </c>
      <c r="C3" s="21" t="s">
        <v>95</v>
      </c>
      <c r="D3" s="22" t="s">
        <v>96</v>
      </c>
      <c r="E3" s="34" t="s">
        <v>282</v>
      </c>
      <c r="F3" s="20" t="str">
        <f>RootDataset!$B$2</f>
        <v>./</v>
      </c>
      <c r="G3" s="21" t="s">
        <v>283</v>
      </c>
      <c r="H3" s="35" t="str">
        <f>Collections!A3</f>
        <v>arcp://name,doi10.4225%2F35%2F555d661071c76</v>
      </c>
      <c r="I3" s="7">
        <v>45480.0</v>
      </c>
      <c r="L3" s="36" t="s">
        <v>274</v>
      </c>
      <c r="M3" s="40" t="s">
        <v>31</v>
      </c>
      <c r="P3" s="41" t="s">
        <v>284</v>
      </c>
      <c r="S3" s="42" t="s">
        <v>98</v>
      </c>
      <c r="T3" s="26" t="s">
        <v>285</v>
      </c>
      <c r="V3" s="38" t="s">
        <v>279</v>
      </c>
      <c r="Y3" s="25" t="s">
        <v>286</v>
      </c>
      <c r="AB3" s="26" t="s">
        <v>285</v>
      </c>
    </row>
    <row r="4">
      <c r="A4" s="33" t="str">
        <f t="shared" si="1"/>
        <v>https://data.ldaca.edu.au/object?_id=https%3A%2F%2Fgithub.com%2FAustralian-Text-Analytics-Platform%2Fnotebook-ausreddit%2Fblob%2Fmain%2Fexploration.ipynb</v>
      </c>
      <c r="B4" s="20" t="str">
        <f t="shared" si="2"/>
        <v>arcp://name,AusRedditAggregateDataExplorer</v>
      </c>
      <c r="C4" s="21" t="s">
        <v>95</v>
      </c>
      <c r="D4" s="22" t="s">
        <v>96</v>
      </c>
      <c r="E4" s="34" t="s">
        <v>287</v>
      </c>
      <c r="F4" s="20" t="str">
        <f>RootDataset!$B$2</f>
        <v>./</v>
      </c>
      <c r="G4" s="20" t="s">
        <v>288</v>
      </c>
      <c r="H4" s="35" t="str">
        <f>Collections!A4</f>
        <v>arcp://name,hdl10.25912~RDF_1754373503052
</v>
      </c>
      <c r="I4" s="7"/>
      <c r="J4" s="23"/>
      <c r="K4" s="23"/>
      <c r="L4" s="36" t="s">
        <v>274</v>
      </c>
      <c r="M4" s="43" t="str">
        <f>Orgs_People!$A$6</f>
        <v>https://ror.org/03pnv4752</v>
      </c>
      <c r="N4" s="24" t="str">
        <f>Orgs_People!$A$9</f>
        <v>https://github.com/QUT-Digital-Observatory</v>
      </c>
      <c r="O4" s="25"/>
      <c r="P4" s="38" t="s">
        <v>289</v>
      </c>
      <c r="Q4" s="23"/>
      <c r="S4" s="23" t="s">
        <v>98</v>
      </c>
      <c r="T4" s="26" t="s">
        <v>290</v>
      </c>
      <c r="U4" s="25" t="s">
        <v>291</v>
      </c>
      <c r="V4" s="25" t="s">
        <v>292</v>
      </c>
      <c r="W4" s="23"/>
      <c r="X4" s="23"/>
      <c r="Y4" s="38" t="s">
        <v>293</v>
      </c>
      <c r="Z4" s="23"/>
      <c r="AA4" s="23"/>
      <c r="AB4" s="26" t="s">
        <v>294</v>
      </c>
      <c r="AC4" s="23"/>
    </row>
    <row r="5">
      <c r="A5" s="33" t="str">
        <f t="shared" si="1"/>
        <v>https://data.ldaca.edu.au/object?_id=https%3A%2F%2Fgithub.com%2FAustralian-Text-Analytics-Platform%2Fnotebook-twittersphere%2Fblob%2Fmain%2Fexploration.ipynb</v>
      </c>
      <c r="B5" s="20" t="str">
        <f t="shared" si="2"/>
        <v>arcp://name,AustralianTwittersphereAggregateDataExplorer</v>
      </c>
      <c r="C5" s="21" t="s">
        <v>95</v>
      </c>
      <c r="D5" s="22" t="s">
        <v>96</v>
      </c>
      <c r="E5" s="34" t="s">
        <v>295</v>
      </c>
      <c r="F5" s="20" t="str">
        <f>RootDataset!$B$2</f>
        <v>./</v>
      </c>
      <c r="G5" s="20" t="s">
        <v>296</v>
      </c>
      <c r="H5" s="35" t="str">
        <f>Collections!A5</f>
        <v>arcp://name,hdl10.25912~RDF_1758591652309</v>
      </c>
      <c r="I5" s="7">
        <v>46123.0</v>
      </c>
      <c r="J5" s="23"/>
      <c r="K5" s="23"/>
      <c r="L5" s="36" t="s">
        <v>274</v>
      </c>
      <c r="M5" s="43" t="str">
        <f>Orgs_People!$A$6</f>
        <v>https://ror.org/03pnv4752</v>
      </c>
      <c r="N5" s="24" t="str">
        <f>Orgs_People!$A$9</f>
        <v>https://github.com/QUT-Digital-Observatory</v>
      </c>
      <c r="O5" s="25"/>
      <c r="P5" s="38" t="s">
        <v>289</v>
      </c>
      <c r="Q5" s="23"/>
      <c r="S5" s="23" t="s">
        <v>98</v>
      </c>
      <c r="T5" s="26" t="s">
        <v>297</v>
      </c>
      <c r="U5" s="25" t="s">
        <v>298</v>
      </c>
      <c r="V5" s="23" t="s">
        <v>292</v>
      </c>
      <c r="W5" s="23"/>
      <c r="X5" s="23"/>
      <c r="Y5" s="38" t="s">
        <v>299</v>
      </c>
      <c r="Z5" s="23"/>
      <c r="AA5" s="23"/>
      <c r="AB5" s="26" t="s">
        <v>300</v>
      </c>
      <c r="AC5" s="23"/>
      <c r="AD5" s="23"/>
    </row>
    <row r="6">
      <c r="E6" s="44"/>
    </row>
    <row r="7">
      <c r="E7" s="44"/>
    </row>
    <row r="8">
      <c r="E8" s="44"/>
    </row>
    <row r="9">
      <c r="E9" s="44"/>
    </row>
    <row r="10">
      <c r="E10" s="44"/>
    </row>
    <row r="11">
      <c r="E11" s="44"/>
    </row>
    <row r="12">
      <c r="E12" s="44"/>
    </row>
    <row r="13">
      <c r="E13" s="44"/>
    </row>
    <row r="14">
      <c r="E14" s="44"/>
    </row>
    <row r="15">
      <c r="E15" s="44"/>
    </row>
    <row r="16">
      <c r="E16" s="44"/>
    </row>
    <row r="17">
      <c r="E17" s="44"/>
    </row>
    <row r="18">
      <c r="E18" s="44"/>
    </row>
    <row r="19">
      <c r="E19" s="44"/>
    </row>
    <row r="20">
      <c r="E20" s="44"/>
    </row>
    <row r="21">
      <c r="E21" s="44"/>
    </row>
    <row r="22">
      <c r="E22" s="44"/>
    </row>
    <row r="23">
      <c r="E23" s="44"/>
    </row>
    <row r="24">
      <c r="E24" s="44"/>
    </row>
    <row r="25">
      <c r="E25" s="44"/>
    </row>
    <row r="26">
      <c r="E26" s="44"/>
    </row>
    <row r="27">
      <c r="E27" s="44"/>
    </row>
    <row r="28">
      <c r="E28" s="44"/>
    </row>
    <row r="29">
      <c r="E29" s="44"/>
    </row>
    <row r="30">
      <c r="E30" s="44"/>
    </row>
    <row r="31">
      <c r="E31" s="44"/>
    </row>
    <row r="32">
      <c r="E32" s="44"/>
    </row>
    <row r="33">
      <c r="E33" s="44"/>
    </row>
    <row r="34">
      <c r="E34" s="44"/>
    </row>
    <row r="35">
      <c r="E35" s="44"/>
    </row>
    <row r="36">
      <c r="E36" s="44"/>
    </row>
    <row r="37">
      <c r="E37" s="44"/>
    </row>
    <row r="38">
      <c r="E38" s="44"/>
    </row>
    <row r="39">
      <c r="E39" s="44"/>
    </row>
    <row r="40">
      <c r="E40" s="44"/>
    </row>
    <row r="41">
      <c r="E41" s="44"/>
    </row>
    <row r="42">
      <c r="E42" s="44"/>
    </row>
    <row r="43">
      <c r="E43" s="44"/>
    </row>
    <row r="44">
      <c r="E44" s="44"/>
    </row>
    <row r="45">
      <c r="E45" s="44"/>
    </row>
    <row r="46">
      <c r="E46" s="44"/>
    </row>
    <row r="47">
      <c r="E47" s="44"/>
    </row>
    <row r="48">
      <c r="E48" s="44"/>
    </row>
    <row r="49">
      <c r="E49" s="44"/>
    </row>
    <row r="50">
      <c r="E50" s="44"/>
    </row>
    <row r="51">
      <c r="E51" s="44"/>
    </row>
    <row r="52">
      <c r="E52" s="44"/>
    </row>
    <row r="53">
      <c r="E53" s="44"/>
    </row>
    <row r="54">
      <c r="E54" s="44"/>
    </row>
    <row r="55">
      <c r="E55" s="44"/>
    </row>
    <row r="56">
      <c r="E56" s="44"/>
    </row>
    <row r="57">
      <c r="E57" s="44"/>
    </row>
    <row r="58">
      <c r="E58" s="44"/>
    </row>
    <row r="59">
      <c r="E59" s="44"/>
    </row>
    <row r="60">
      <c r="E60" s="44"/>
    </row>
    <row r="61">
      <c r="E61" s="44"/>
    </row>
    <row r="62">
      <c r="E62" s="44"/>
    </row>
    <row r="63">
      <c r="E63" s="44"/>
    </row>
    <row r="64">
      <c r="E64" s="44"/>
    </row>
    <row r="65">
      <c r="E65" s="44"/>
    </row>
    <row r="66">
      <c r="E66" s="44"/>
    </row>
    <row r="67">
      <c r="E67" s="44"/>
    </row>
    <row r="68">
      <c r="E68" s="44"/>
    </row>
    <row r="69">
      <c r="E69" s="44"/>
    </row>
    <row r="70">
      <c r="E70" s="44"/>
    </row>
    <row r="71">
      <c r="E71" s="44"/>
    </row>
    <row r="72">
      <c r="E72" s="44"/>
    </row>
    <row r="73">
      <c r="E73" s="44"/>
    </row>
    <row r="74">
      <c r="E74" s="44"/>
    </row>
    <row r="75">
      <c r="E75" s="44"/>
    </row>
    <row r="76">
      <c r="E76" s="44"/>
    </row>
    <row r="77">
      <c r="E77" s="44"/>
    </row>
    <row r="78">
      <c r="E78" s="44"/>
    </row>
    <row r="79">
      <c r="E79" s="44"/>
    </row>
    <row r="80">
      <c r="E80" s="44"/>
    </row>
    <row r="81">
      <c r="E81" s="44"/>
    </row>
    <row r="82">
      <c r="E82" s="44"/>
    </row>
    <row r="83">
      <c r="E83" s="44"/>
    </row>
    <row r="84">
      <c r="E84" s="44"/>
    </row>
    <row r="85">
      <c r="E85" s="44"/>
    </row>
    <row r="86">
      <c r="E86" s="44"/>
    </row>
    <row r="87">
      <c r="E87" s="44"/>
    </row>
    <row r="88">
      <c r="E88" s="44"/>
    </row>
    <row r="89">
      <c r="E89" s="44"/>
    </row>
    <row r="90">
      <c r="E90" s="44"/>
    </row>
    <row r="91">
      <c r="E91" s="44"/>
    </row>
    <row r="92">
      <c r="E92" s="44"/>
    </row>
    <row r="93">
      <c r="E93" s="44"/>
    </row>
    <row r="94">
      <c r="E94" s="44"/>
    </row>
    <row r="95">
      <c r="E95" s="44"/>
    </row>
    <row r="96">
      <c r="E96" s="44"/>
    </row>
    <row r="97">
      <c r="E97" s="44"/>
    </row>
    <row r="98">
      <c r="E98" s="44"/>
    </row>
    <row r="99">
      <c r="E99" s="44"/>
    </row>
    <row r="100">
      <c r="E100" s="44"/>
    </row>
    <row r="101">
      <c r="E101" s="44"/>
    </row>
    <row r="102">
      <c r="E102" s="44"/>
    </row>
    <row r="103">
      <c r="E103" s="44"/>
    </row>
    <row r="104">
      <c r="E104" s="44"/>
    </row>
    <row r="105">
      <c r="E105" s="44"/>
    </row>
    <row r="106">
      <c r="E106" s="44"/>
    </row>
    <row r="107">
      <c r="E107" s="44"/>
    </row>
    <row r="108">
      <c r="E108" s="44"/>
    </row>
    <row r="109">
      <c r="E109" s="44"/>
    </row>
    <row r="110">
      <c r="E110" s="44"/>
    </row>
    <row r="111">
      <c r="E111" s="44"/>
    </row>
    <row r="112">
      <c r="E112" s="44"/>
    </row>
    <row r="113">
      <c r="E113" s="44"/>
    </row>
    <row r="114">
      <c r="E114" s="44"/>
    </row>
    <row r="115">
      <c r="E115" s="44"/>
    </row>
    <row r="116">
      <c r="E116" s="44"/>
    </row>
    <row r="117">
      <c r="E117" s="44"/>
    </row>
    <row r="118">
      <c r="E118" s="44"/>
    </row>
    <row r="119">
      <c r="E119" s="44"/>
    </row>
    <row r="120">
      <c r="E120" s="44"/>
    </row>
    <row r="121">
      <c r="E121" s="44"/>
    </row>
    <row r="122">
      <c r="E122" s="44"/>
    </row>
    <row r="123">
      <c r="E123" s="44"/>
    </row>
    <row r="124">
      <c r="E124" s="44"/>
    </row>
    <row r="125">
      <c r="E125" s="44"/>
    </row>
    <row r="126">
      <c r="E126" s="44"/>
    </row>
    <row r="127">
      <c r="E127" s="44"/>
    </row>
    <row r="128">
      <c r="E128" s="44"/>
    </row>
    <row r="129">
      <c r="E129" s="44"/>
    </row>
    <row r="130">
      <c r="E130" s="44"/>
    </row>
    <row r="131">
      <c r="E131" s="44"/>
    </row>
    <row r="132">
      <c r="E132" s="44"/>
    </row>
    <row r="133">
      <c r="E133" s="44"/>
    </row>
    <row r="134">
      <c r="E134" s="44"/>
    </row>
    <row r="135">
      <c r="E135" s="44"/>
    </row>
    <row r="136">
      <c r="E136" s="44"/>
    </row>
    <row r="137">
      <c r="E137" s="44"/>
    </row>
    <row r="138">
      <c r="E138" s="44"/>
    </row>
    <row r="139">
      <c r="E139" s="44"/>
    </row>
    <row r="140">
      <c r="E140" s="44"/>
    </row>
    <row r="141">
      <c r="E141" s="44"/>
    </row>
    <row r="142">
      <c r="E142" s="44"/>
    </row>
    <row r="143">
      <c r="E143" s="44"/>
    </row>
    <row r="144">
      <c r="E144" s="44"/>
    </row>
    <row r="145">
      <c r="E145" s="44"/>
    </row>
    <row r="146">
      <c r="E146" s="44"/>
    </row>
    <row r="147">
      <c r="E147" s="44"/>
    </row>
    <row r="148">
      <c r="E148" s="44"/>
    </row>
    <row r="149">
      <c r="E149" s="44"/>
    </row>
    <row r="150">
      <c r="E150" s="44"/>
    </row>
    <row r="151">
      <c r="E151" s="44"/>
    </row>
    <row r="152">
      <c r="E152" s="44"/>
    </row>
    <row r="153">
      <c r="E153" s="44"/>
    </row>
    <row r="154">
      <c r="E154" s="44"/>
    </row>
    <row r="155">
      <c r="E155" s="44"/>
    </row>
    <row r="156">
      <c r="E156" s="44"/>
    </row>
    <row r="157">
      <c r="E157" s="44"/>
    </row>
    <row r="158">
      <c r="E158" s="44"/>
    </row>
    <row r="159">
      <c r="E159" s="44"/>
    </row>
    <row r="160">
      <c r="E160" s="44"/>
    </row>
    <row r="161">
      <c r="E161" s="44"/>
    </row>
    <row r="162">
      <c r="E162" s="44"/>
    </row>
    <row r="163">
      <c r="E163" s="44"/>
    </row>
    <row r="164">
      <c r="E164" s="44"/>
    </row>
    <row r="165">
      <c r="E165" s="44"/>
    </row>
    <row r="166">
      <c r="E166" s="44"/>
    </row>
    <row r="167">
      <c r="E167" s="44"/>
    </row>
    <row r="168">
      <c r="E168" s="44"/>
    </row>
    <row r="169">
      <c r="E169" s="44"/>
    </row>
    <row r="170">
      <c r="E170" s="44"/>
    </row>
    <row r="171">
      <c r="E171" s="44"/>
    </row>
    <row r="172">
      <c r="E172" s="44"/>
    </row>
    <row r="173">
      <c r="E173" s="44"/>
    </row>
    <row r="174">
      <c r="E174" s="44"/>
    </row>
    <row r="175">
      <c r="E175" s="44"/>
    </row>
    <row r="176">
      <c r="E176" s="44"/>
    </row>
    <row r="177">
      <c r="E177" s="44"/>
    </row>
    <row r="178">
      <c r="E178" s="44"/>
    </row>
    <row r="179">
      <c r="E179" s="44"/>
    </row>
    <row r="180">
      <c r="E180" s="44"/>
    </row>
    <row r="181">
      <c r="E181" s="44"/>
    </row>
    <row r="182">
      <c r="E182" s="44"/>
    </row>
    <row r="183">
      <c r="E183" s="44"/>
    </row>
    <row r="184">
      <c r="E184" s="44"/>
    </row>
    <row r="185">
      <c r="E185" s="44"/>
    </row>
    <row r="186">
      <c r="E186" s="44"/>
    </row>
    <row r="187">
      <c r="E187" s="44"/>
    </row>
    <row r="188">
      <c r="E188" s="44"/>
    </row>
    <row r="189">
      <c r="E189" s="44"/>
    </row>
    <row r="190">
      <c r="E190" s="44"/>
    </row>
    <row r="191">
      <c r="E191" s="44"/>
    </row>
    <row r="192">
      <c r="E192" s="44"/>
    </row>
    <row r="193">
      <c r="E193" s="44"/>
    </row>
    <row r="194">
      <c r="E194" s="44"/>
    </row>
    <row r="195">
      <c r="E195" s="44"/>
    </row>
    <row r="196">
      <c r="E196" s="44"/>
    </row>
    <row r="197">
      <c r="E197" s="44"/>
    </row>
    <row r="198">
      <c r="E198" s="44"/>
    </row>
    <row r="199">
      <c r="E199" s="44"/>
    </row>
    <row r="200">
      <c r="E200" s="44"/>
    </row>
    <row r="201">
      <c r="E201" s="44"/>
    </row>
    <row r="202">
      <c r="E202" s="44"/>
    </row>
    <row r="203">
      <c r="E203" s="44"/>
    </row>
    <row r="204">
      <c r="E204" s="44"/>
    </row>
    <row r="205">
      <c r="E205" s="44"/>
    </row>
    <row r="206">
      <c r="E206" s="44"/>
    </row>
    <row r="207">
      <c r="E207" s="44"/>
    </row>
    <row r="208">
      <c r="E208" s="44"/>
    </row>
    <row r="209">
      <c r="E209" s="44"/>
    </row>
    <row r="210">
      <c r="E210" s="44"/>
    </row>
    <row r="211">
      <c r="E211" s="44"/>
    </row>
    <row r="212">
      <c r="E212" s="44"/>
    </row>
    <row r="213">
      <c r="E213" s="44"/>
    </row>
    <row r="214">
      <c r="E214" s="44"/>
    </row>
    <row r="215">
      <c r="E215" s="44"/>
    </row>
    <row r="216">
      <c r="E216" s="44"/>
    </row>
    <row r="217">
      <c r="E217" s="44"/>
    </row>
    <row r="218">
      <c r="E218" s="44"/>
    </row>
    <row r="219">
      <c r="E219" s="44"/>
    </row>
    <row r="220">
      <c r="E220" s="44"/>
    </row>
    <row r="221">
      <c r="E221" s="44"/>
    </row>
    <row r="222">
      <c r="E222" s="44"/>
    </row>
    <row r="223">
      <c r="E223" s="44"/>
    </row>
    <row r="224">
      <c r="E224" s="44"/>
    </row>
    <row r="225">
      <c r="E225" s="44"/>
    </row>
    <row r="226">
      <c r="E226" s="44"/>
    </row>
    <row r="227">
      <c r="E227" s="44"/>
    </row>
    <row r="228">
      <c r="E228" s="44"/>
    </row>
    <row r="229">
      <c r="E229" s="44"/>
    </row>
    <row r="230">
      <c r="E230" s="44"/>
    </row>
    <row r="231">
      <c r="E231" s="44"/>
    </row>
    <row r="232">
      <c r="E232" s="44"/>
    </row>
    <row r="233">
      <c r="E233" s="44"/>
    </row>
    <row r="234">
      <c r="E234" s="44"/>
    </row>
    <row r="235">
      <c r="E235" s="44"/>
    </row>
    <row r="236">
      <c r="E236" s="44"/>
    </row>
    <row r="237">
      <c r="E237" s="44"/>
    </row>
    <row r="238">
      <c r="E238" s="44"/>
    </row>
    <row r="239">
      <c r="E239" s="44"/>
    </row>
    <row r="240">
      <c r="E240" s="44"/>
    </row>
    <row r="241">
      <c r="E241" s="44"/>
    </row>
    <row r="242">
      <c r="E242" s="44"/>
    </row>
    <row r="243">
      <c r="E243" s="44"/>
    </row>
    <row r="244">
      <c r="E244" s="44"/>
    </row>
    <row r="245">
      <c r="E245" s="44"/>
    </row>
    <row r="246">
      <c r="E246" s="44"/>
    </row>
    <row r="247">
      <c r="E247" s="44"/>
    </row>
    <row r="248">
      <c r="E248" s="44"/>
    </row>
    <row r="249">
      <c r="E249" s="44"/>
    </row>
    <row r="250">
      <c r="E250" s="44"/>
    </row>
    <row r="251">
      <c r="E251" s="44"/>
    </row>
    <row r="252">
      <c r="E252" s="44"/>
    </row>
    <row r="253">
      <c r="E253" s="44"/>
    </row>
    <row r="254">
      <c r="E254" s="44"/>
    </row>
    <row r="255">
      <c r="E255" s="44"/>
    </row>
    <row r="256">
      <c r="E256" s="44"/>
    </row>
    <row r="257">
      <c r="E257" s="44"/>
    </row>
    <row r="258">
      <c r="E258" s="44"/>
    </row>
    <row r="259">
      <c r="E259" s="44"/>
    </row>
    <row r="260">
      <c r="E260" s="44"/>
    </row>
    <row r="261">
      <c r="E261" s="44"/>
    </row>
    <row r="262">
      <c r="E262" s="44"/>
    </row>
    <row r="263">
      <c r="E263" s="44"/>
    </row>
    <row r="264">
      <c r="E264" s="44"/>
    </row>
    <row r="265">
      <c r="E265" s="44"/>
    </row>
    <row r="266">
      <c r="E266" s="44"/>
    </row>
    <row r="267">
      <c r="E267" s="44"/>
    </row>
    <row r="268">
      <c r="E268" s="44"/>
    </row>
    <row r="269">
      <c r="E269" s="44"/>
    </row>
    <row r="270">
      <c r="E270" s="44"/>
    </row>
    <row r="271">
      <c r="E271" s="44"/>
    </row>
    <row r="272">
      <c r="E272" s="44"/>
    </row>
    <row r="273">
      <c r="E273" s="44"/>
    </row>
    <row r="274">
      <c r="E274" s="44"/>
    </row>
    <row r="275">
      <c r="E275" s="44"/>
    </row>
    <row r="276">
      <c r="E276" s="44"/>
    </row>
    <row r="277">
      <c r="E277" s="44"/>
    </row>
    <row r="278">
      <c r="E278" s="44"/>
    </row>
    <row r="279">
      <c r="E279" s="44"/>
    </row>
    <row r="280">
      <c r="E280" s="44"/>
    </row>
    <row r="281">
      <c r="E281" s="44"/>
    </row>
    <row r="282">
      <c r="E282" s="44"/>
    </row>
    <row r="283">
      <c r="E283" s="44"/>
    </row>
    <row r="284">
      <c r="E284" s="44"/>
    </row>
    <row r="285">
      <c r="E285" s="44"/>
    </row>
    <row r="286">
      <c r="E286" s="44"/>
    </row>
    <row r="287">
      <c r="E287" s="44"/>
    </row>
    <row r="288">
      <c r="E288" s="44"/>
    </row>
    <row r="289">
      <c r="E289" s="44"/>
    </row>
    <row r="290">
      <c r="E290" s="44"/>
    </row>
    <row r="291">
      <c r="E291" s="44"/>
    </row>
    <row r="292">
      <c r="E292" s="44"/>
    </row>
    <row r="293">
      <c r="E293" s="44"/>
    </row>
    <row r="294">
      <c r="E294" s="44"/>
    </row>
    <row r="295">
      <c r="E295" s="44"/>
    </row>
    <row r="296">
      <c r="E296" s="44"/>
    </row>
    <row r="297">
      <c r="E297" s="44"/>
    </row>
    <row r="298">
      <c r="E298" s="44"/>
    </row>
    <row r="299">
      <c r="E299" s="44"/>
    </row>
    <row r="300">
      <c r="E300" s="44"/>
    </row>
    <row r="301">
      <c r="E301" s="44"/>
    </row>
    <row r="302">
      <c r="E302" s="44"/>
    </row>
    <row r="303">
      <c r="E303" s="44"/>
    </row>
    <row r="304">
      <c r="E304" s="44"/>
    </row>
    <row r="305">
      <c r="E305" s="44"/>
    </row>
    <row r="306">
      <c r="E306" s="44"/>
    </row>
    <row r="307">
      <c r="E307" s="44"/>
    </row>
    <row r="308">
      <c r="E308" s="44"/>
    </row>
    <row r="309">
      <c r="E309" s="44"/>
    </row>
    <row r="310">
      <c r="E310" s="44"/>
    </row>
    <row r="311">
      <c r="E311" s="44"/>
    </row>
    <row r="312">
      <c r="E312" s="44"/>
    </row>
    <row r="313">
      <c r="E313" s="44"/>
    </row>
    <row r="314">
      <c r="E314" s="44"/>
    </row>
    <row r="315">
      <c r="E315" s="44"/>
    </row>
    <row r="316">
      <c r="E316" s="44"/>
    </row>
    <row r="317">
      <c r="E317" s="44"/>
    </row>
    <row r="318">
      <c r="E318" s="44"/>
    </row>
    <row r="319">
      <c r="E319" s="44"/>
    </row>
    <row r="320">
      <c r="E320" s="44"/>
    </row>
    <row r="321">
      <c r="E321" s="44"/>
    </row>
    <row r="322">
      <c r="E322" s="44"/>
    </row>
    <row r="323">
      <c r="E323" s="44"/>
    </row>
    <row r="324">
      <c r="E324" s="44"/>
    </row>
    <row r="325">
      <c r="E325" s="44"/>
    </row>
    <row r="326">
      <c r="E326" s="44"/>
    </row>
    <row r="327">
      <c r="E327" s="44"/>
    </row>
    <row r="328">
      <c r="E328" s="44"/>
    </row>
    <row r="329">
      <c r="E329" s="44"/>
    </row>
    <row r="330">
      <c r="E330" s="44"/>
    </row>
    <row r="331">
      <c r="E331" s="44"/>
    </row>
    <row r="332">
      <c r="E332" s="44"/>
    </row>
    <row r="333">
      <c r="E333" s="44"/>
    </row>
    <row r="334">
      <c r="E334" s="44"/>
    </row>
    <row r="335">
      <c r="E335" s="44"/>
    </row>
    <row r="336">
      <c r="E336" s="44"/>
    </row>
    <row r="337">
      <c r="E337" s="44"/>
    </row>
    <row r="338">
      <c r="E338" s="44"/>
    </row>
    <row r="339">
      <c r="E339" s="44"/>
    </row>
    <row r="340">
      <c r="E340" s="44"/>
    </row>
    <row r="341">
      <c r="E341" s="44"/>
    </row>
    <row r="342">
      <c r="E342" s="44"/>
    </row>
    <row r="343">
      <c r="E343" s="44"/>
    </row>
    <row r="344">
      <c r="E344" s="44"/>
    </row>
    <row r="345">
      <c r="E345" s="44"/>
    </row>
    <row r="346">
      <c r="E346" s="44"/>
    </row>
    <row r="347">
      <c r="E347" s="44"/>
    </row>
    <row r="348">
      <c r="E348" s="44"/>
    </row>
    <row r="349">
      <c r="E349" s="44"/>
    </row>
    <row r="350">
      <c r="E350" s="44"/>
    </row>
    <row r="351">
      <c r="E351" s="44"/>
    </row>
    <row r="352">
      <c r="E352" s="44"/>
    </row>
    <row r="353">
      <c r="E353" s="44"/>
    </row>
    <row r="354">
      <c r="E354" s="44"/>
    </row>
    <row r="355">
      <c r="E355" s="44"/>
    </row>
    <row r="356">
      <c r="E356" s="44"/>
    </row>
    <row r="357">
      <c r="E357" s="44"/>
    </row>
    <row r="358">
      <c r="E358" s="44"/>
    </row>
    <row r="359">
      <c r="E359" s="44"/>
    </row>
    <row r="360">
      <c r="E360" s="44"/>
    </row>
    <row r="361">
      <c r="E361" s="44"/>
    </row>
    <row r="362">
      <c r="E362" s="44"/>
    </row>
    <row r="363">
      <c r="E363" s="44"/>
    </row>
    <row r="364">
      <c r="E364" s="44"/>
    </row>
    <row r="365">
      <c r="E365" s="44"/>
    </row>
    <row r="366">
      <c r="E366" s="44"/>
    </row>
    <row r="367">
      <c r="E367" s="44"/>
    </row>
    <row r="368">
      <c r="E368" s="44"/>
    </row>
    <row r="369">
      <c r="E369" s="44"/>
    </row>
    <row r="370">
      <c r="E370" s="44"/>
    </row>
    <row r="371">
      <c r="E371" s="44"/>
    </row>
    <row r="372">
      <c r="E372" s="44"/>
    </row>
    <row r="373">
      <c r="E373" s="44"/>
    </row>
    <row r="374">
      <c r="E374" s="44"/>
    </row>
    <row r="375">
      <c r="E375" s="44"/>
    </row>
    <row r="376">
      <c r="E376" s="44"/>
    </row>
    <row r="377">
      <c r="E377" s="44"/>
    </row>
    <row r="378">
      <c r="E378" s="44"/>
    </row>
    <row r="379">
      <c r="E379" s="44"/>
    </row>
    <row r="380">
      <c r="E380" s="44"/>
    </row>
    <row r="381">
      <c r="E381" s="44"/>
    </row>
    <row r="382">
      <c r="E382" s="44"/>
    </row>
    <row r="383">
      <c r="E383" s="44"/>
    </row>
    <row r="384">
      <c r="E384" s="44"/>
    </row>
    <row r="385">
      <c r="E385" s="44"/>
    </row>
    <row r="386">
      <c r="E386" s="44"/>
    </row>
    <row r="387">
      <c r="E387" s="44"/>
    </row>
    <row r="388">
      <c r="E388" s="44"/>
    </row>
    <row r="389">
      <c r="E389" s="44"/>
    </row>
    <row r="390">
      <c r="E390" s="44"/>
    </row>
    <row r="391">
      <c r="E391" s="44"/>
    </row>
    <row r="392">
      <c r="E392" s="44"/>
    </row>
    <row r="393">
      <c r="E393" s="44"/>
    </row>
    <row r="394">
      <c r="E394" s="44"/>
    </row>
    <row r="395">
      <c r="E395" s="44"/>
    </row>
    <row r="396">
      <c r="E396" s="44"/>
    </row>
    <row r="397">
      <c r="E397" s="44"/>
    </row>
    <row r="398">
      <c r="E398" s="44"/>
    </row>
    <row r="399">
      <c r="E399" s="44"/>
    </row>
    <row r="400">
      <c r="E400" s="44"/>
    </row>
    <row r="401">
      <c r="E401" s="44"/>
    </row>
    <row r="402">
      <c r="E402" s="44"/>
    </row>
    <row r="403">
      <c r="E403" s="44"/>
    </row>
    <row r="404">
      <c r="E404" s="44"/>
    </row>
    <row r="405">
      <c r="E405" s="44"/>
    </row>
    <row r="406">
      <c r="E406" s="44"/>
    </row>
    <row r="407">
      <c r="E407" s="44"/>
    </row>
    <row r="408">
      <c r="E408" s="44"/>
    </row>
    <row r="409">
      <c r="E409" s="44"/>
    </row>
    <row r="410">
      <c r="E410" s="44"/>
    </row>
    <row r="411">
      <c r="E411" s="44"/>
    </row>
    <row r="412">
      <c r="E412" s="44"/>
    </row>
    <row r="413">
      <c r="E413" s="44"/>
    </row>
    <row r="414">
      <c r="E414" s="44"/>
    </row>
    <row r="415">
      <c r="E415" s="44"/>
    </row>
    <row r="416">
      <c r="E416" s="44"/>
    </row>
    <row r="417">
      <c r="E417" s="44"/>
    </row>
    <row r="418">
      <c r="E418" s="44"/>
    </row>
    <row r="419">
      <c r="E419" s="44"/>
    </row>
    <row r="420">
      <c r="E420" s="44"/>
    </row>
    <row r="421">
      <c r="E421" s="44"/>
    </row>
    <row r="422">
      <c r="E422" s="44"/>
    </row>
    <row r="423">
      <c r="E423" s="44"/>
    </row>
    <row r="424">
      <c r="E424" s="44"/>
    </row>
    <row r="425">
      <c r="E425" s="44"/>
    </row>
    <row r="426">
      <c r="E426" s="44"/>
    </row>
    <row r="427">
      <c r="E427" s="44"/>
    </row>
    <row r="428">
      <c r="E428" s="44"/>
    </row>
    <row r="429">
      <c r="E429" s="44"/>
    </row>
    <row r="430">
      <c r="E430" s="44"/>
    </row>
    <row r="431">
      <c r="E431" s="44"/>
    </row>
    <row r="432">
      <c r="E432" s="44"/>
    </row>
    <row r="433">
      <c r="E433" s="44"/>
    </row>
    <row r="434">
      <c r="E434" s="44"/>
    </row>
    <row r="435">
      <c r="E435" s="44"/>
    </row>
    <row r="436">
      <c r="E436" s="44"/>
    </row>
    <row r="437">
      <c r="E437" s="44"/>
    </row>
    <row r="438">
      <c r="E438" s="44"/>
    </row>
    <row r="439">
      <c r="E439" s="44"/>
    </row>
    <row r="440">
      <c r="E440" s="44"/>
    </row>
    <row r="441">
      <c r="E441" s="44"/>
    </row>
    <row r="442">
      <c r="E442" s="44"/>
    </row>
    <row r="443">
      <c r="E443" s="44"/>
    </row>
    <row r="444">
      <c r="E444" s="44"/>
    </row>
    <row r="445">
      <c r="E445" s="44"/>
    </row>
    <row r="446">
      <c r="E446" s="44"/>
    </row>
    <row r="447">
      <c r="E447" s="44"/>
    </row>
    <row r="448">
      <c r="E448" s="44"/>
    </row>
    <row r="449">
      <c r="E449" s="44"/>
    </row>
    <row r="450">
      <c r="E450" s="44"/>
    </row>
    <row r="451">
      <c r="E451" s="44"/>
    </row>
    <row r="452">
      <c r="E452" s="44"/>
    </row>
    <row r="453">
      <c r="E453" s="44"/>
    </row>
    <row r="454">
      <c r="E454" s="44"/>
    </row>
    <row r="455">
      <c r="E455" s="44"/>
    </row>
    <row r="456">
      <c r="E456" s="44"/>
    </row>
    <row r="457">
      <c r="E457" s="44"/>
    </row>
    <row r="458">
      <c r="E458" s="44"/>
    </row>
    <row r="459">
      <c r="E459" s="44"/>
    </row>
    <row r="460">
      <c r="E460" s="44"/>
    </row>
    <row r="461">
      <c r="E461" s="44"/>
    </row>
    <row r="462">
      <c r="E462" s="44"/>
    </row>
    <row r="463">
      <c r="E463" s="44"/>
    </row>
    <row r="464">
      <c r="E464" s="44"/>
    </row>
    <row r="465">
      <c r="E465" s="44"/>
    </row>
    <row r="466">
      <c r="E466" s="44"/>
    </row>
    <row r="467">
      <c r="E467" s="44"/>
    </row>
    <row r="468">
      <c r="E468" s="44"/>
    </row>
    <row r="469">
      <c r="E469" s="44"/>
    </row>
    <row r="470">
      <c r="E470" s="44"/>
    </row>
    <row r="471">
      <c r="E471" s="44"/>
    </row>
    <row r="472">
      <c r="E472" s="44"/>
    </row>
    <row r="473">
      <c r="E473" s="44"/>
    </row>
    <row r="474">
      <c r="E474" s="44"/>
    </row>
    <row r="475">
      <c r="E475" s="44"/>
    </row>
    <row r="476">
      <c r="E476" s="44"/>
    </row>
    <row r="477">
      <c r="E477" s="44"/>
    </row>
    <row r="478">
      <c r="E478" s="44"/>
    </row>
    <row r="479">
      <c r="E479" s="44"/>
    </row>
    <row r="480">
      <c r="E480" s="44"/>
    </row>
    <row r="481">
      <c r="E481" s="44"/>
    </row>
    <row r="482">
      <c r="E482" s="44"/>
    </row>
    <row r="483">
      <c r="E483" s="44"/>
    </row>
    <row r="484">
      <c r="E484" s="44"/>
    </row>
    <row r="485">
      <c r="E485" s="44"/>
    </row>
    <row r="486">
      <c r="E486" s="44"/>
    </row>
    <row r="487">
      <c r="E487" s="44"/>
    </row>
    <row r="488">
      <c r="E488" s="44"/>
    </row>
    <row r="489">
      <c r="E489" s="44"/>
    </row>
    <row r="490">
      <c r="E490" s="44"/>
    </row>
    <row r="491">
      <c r="E491" s="44"/>
    </row>
    <row r="492">
      <c r="E492" s="44"/>
    </row>
    <row r="493">
      <c r="E493" s="44"/>
    </row>
    <row r="494">
      <c r="E494" s="44"/>
    </row>
    <row r="495">
      <c r="E495" s="44"/>
    </row>
    <row r="496">
      <c r="E496" s="44"/>
    </row>
    <row r="497">
      <c r="E497" s="44"/>
    </row>
    <row r="498">
      <c r="E498" s="44"/>
    </row>
    <row r="499">
      <c r="E499" s="44"/>
    </row>
    <row r="500">
      <c r="E500" s="44"/>
    </row>
    <row r="501">
      <c r="E501" s="44"/>
    </row>
    <row r="502">
      <c r="E502" s="44"/>
    </row>
    <row r="503">
      <c r="E503" s="44"/>
    </row>
    <row r="504">
      <c r="E504" s="44"/>
    </row>
    <row r="505">
      <c r="E505" s="44"/>
    </row>
    <row r="506">
      <c r="E506" s="44"/>
    </row>
    <row r="507">
      <c r="E507" s="44"/>
    </row>
    <row r="508">
      <c r="E508" s="44"/>
    </row>
    <row r="509">
      <c r="E509" s="44"/>
    </row>
    <row r="510">
      <c r="E510" s="44"/>
    </row>
    <row r="511">
      <c r="E511" s="44"/>
    </row>
    <row r="512">
      <c r="E512" s="44"/>
    </row>
    <row r="513">
      <c r="E513" s="44"/>
    </row>
    <row r="514">
      <c r="E514" s="44"/>
    </row>
    <row r="515">
      <c r="E515" s="44"/>
    </row>
    <row r="516">
      <c r="E516" s="44"/>
    </row>
    <row r="517">
      <c r="E517" s="44"/>
    </row>
    <row r="518">
      <c r="E518" s="44"/>
    </row>
    <row r="519">
      <c r="E519" s="44"/>
    </row>
    <row r="520">
      <c r="E520" s="44"/>
    </row>
    <row r="521">
      <c r="E521" s="44"/>
    </row>
    <row r="522">
      <c r="E522" s="44"/>
    </row>
    <row r="523">
      <c r="E523" s="44"/>
    </row>
    <row r="524">
      <c r="E524" s="44"/>
    </row>
    <row r="525">
      <c r="E525" s="44"/>
    </row>
    <row r="526">
      <c r="E526" s="44"/>
    </row>
    <row r="527">
      <c r="E527" s="44"/>
    </row>
    <row r="528">
      <c r="E528" s="44"/>
    </row>
    <row r="529">
      <c r="E529" s="44"/>
    </row>
    <row r="530">
      <c r="E530" s="44"/>
    </row>
    <row r="531">
      <c r="E531" s="44"/>
    </row>
    <row r="532">
      <c r="E532" s="44"/>
    </row>
    <row r="533">
      <c r="E533" s="44"/>
    </row>
    <row r="534">
      <c r="E534" s="44"/>
    </row>
    <row r="535">
      <c r="E535" s="44"/>
    </row>
    <row r="536">
      <c r="E536" s="44"/>
    </row>
    <row r="537">
      <c r="E537" s="44"/>
    </row>
    <row r="538">
      <c r="E538" s="44"/>
    </row>
    <row r="539">
      <c r="E539" s="44"/>
    </row>
    <row r="540">
      <c r="E540" s="44"/>
    </row>
    <row r="541">
      <c r="E541" s="44"/>
    </row>
    <row r="542">
      <c r="E542" s="44"/>
    </row>
    <row r="543">
      <c r="E543" s="44"/>
    </row>
    <row r="544">
      <c r="E544" s="44"/>
    </row>
    <row r="545">
      <c r="E545" s="44"/>
    </row>
    <row r="546">
      <c r="E546" s="44"/>
    </row>
    <row r="547">
      <c r="E547" s="44"/>
    </row>
    <row r="548">
      <c r="E548" s="44"/>
    </row>
    <row r="549">
      <c r="E549" s="44"/>
    </row>
    <row r="550">
      <c r="E550" s="44"/>
    </row>
    <row r="551">
      <c r="E551" s="44"/>
    </row>
    <row r="552">
      <c r="E552" s="44"/>
    </row>
    <row r="553">
      <c r="E553" s="44"/>
    </row>
    <row r="554">
      <c r="E554" s="44"/>
    </row>
    <row r="555">
      <c r="E555" s="44"/>
    </row>
    <row r="556">
      <c r="E556" s="44"/>
    </row>
    <row r="557">
      <c r="E557" s="44"/>
    </row>
    <row r="558">
      <c r="E558" s="44"/>
    </row>
    <row r="559">
      <c r="E559" s="44"/>
    </row>
    <row r="560">
      <c r="E560" s="44"/>
    </row>
    <row r="561">
      <c r="E561" s="44"/>
    </row>
    <row r="562">
      <c r="E562" s="44"/>
    </row>
    <row r="563">
      <c r="E563" s="44"/>
    </row>
    <row r="564">
      <c r="E564" s="44"/>
    </row>
    <row r="565">
      <c r="E565" s="44"/>
    </row>
    <row r="566">
      <c r="E566" s="44"/>
    </row>
    <row r="567">
      <c r="E567" s="44"/>
    </row>
    <row r="568">
      <c r="E568" s="44"/>
    </row>
    <row r="569">
      <c r="E569" s="44"/>
    </row>
    <row r="570">
      <c r="E570" s="44"/>
    </row>
    <row r="571">
      <c r="E571" s="44"/>
    </row>
    <row r="572">
      <c r="E572" s="44"/>
    </row>
    <row r="573">
      <c r="E573" s="44"/>
    </row>
    <row r="574">
      <c r="E574" s="44"/>
    </row>
    <row r="575">
      <c r="E575" s="44"/>
    </row>
    <row r="576">
      <c r="E576" s="44"/>
    </row>
    <row r="577">
      <c r="E577" s="44"/>
    </row>
    <row r="578">
      <c r="E578" s="44"/>
    </row>
    <row r="579">
      <c r="E579" s="44"/>
    </row>
    <row r="580">
      <c r="E580" s="44"/>
    </row>
    <row r="581">
      <c r="E581" s="44"/>
    </row>
    <row r="582">
      <c r="E582" s="44"/>
    </row>
    <row r="583">
      <c r="E583" s="44"/>
    </row>
    <row r="584">
      <c r="E584" s="44"/>
    </row>
    <row r="585">
      <c r="E585" s="44"/>
    </row>
    <row r="586">
      <c r="E586" s="44"/>
    </row>
    <row r="587">
      <c r="E587" s="44"/>
    </row>
    <row r="588">
      <c r="E588" s="44"/>
    </row>
    <row r="589">
      <c r="E589" s="44"/>
    </row>
    <row r="590">
      <c r="E590" s="44"/>
    </row>
    <row r="591">
      <c r="E591" s="44"/>
    </row>
    <row r="592">
      <c r="E592" s="44"/>
    </row>
    <row r="593">
      <c r="E593" s="44"/>
    </row>
    <row r="594">
      <c r="E594" s="44"/>
    </row>
    <row r="595">
      <c r="E595" s="44"/>
    </row>
    <row r="596">
      <c r="E596" s="44"/>
    </row>
    <row r="597">
      <c r="E597" s="44"/>
    </row>
    <row r="598">
      <c r="E598" s="44"/>
    </row>
    <row r="599">
      <c r="E599" s="44"/>
    </row>
    <row r="600">
      <c r="E600" s="44"/>
    </row>
    <row r="601">
      <c r="E601" s="44"/>
    </row>
    <row r="602">
      <c r="E602" s="44"/>
    </row>
    <row r="603">
      <c r="E603" s="44"/>
    </row>
    <row r="604">
      <c r="E604" s="44"/>
    </row>
    <row r="605">
      <c r="E605" s="44"/>
    </row>
    <row r="606">
      <c r="E606" s="44"/>
    </row>
    <row r="607">
      <c r="E607" s="44"/>
    </row>
    <row r="608">
      <c r="E608" s="44"/>
    </row>
    <row r="609">
      <c r="E609" s="44"/>
    </row>
    <row r="610">
      <c r="E610" s="44"/>
    </row>
    <row r="611">
      <c r="E611" s="44"/>
    </row>
    <row r="612">
      <c r="E612" s="44"/>
    </row>
    <row r="613">
      <c r="E613" s="44"/>
    </row>
    <row r="614">
      <c r="E614" s="44"/>
    </row>
    <row r="615">
      <c r="E615" s="44"/>
    </row>
    <row r="616">
      <c r="E616" s="44"/>
    </row>
    <row r="617">
      <c r="E617" s="44"/>
    </row>
    <row r="618">
      <c r="E618" s="44"/>
    </row>
    <row r="619">
      <c r="E619" s="44"/>
    </row>
    <row r="620">
      <c r="E620" s="44"/>
    </row>
    <row r="621">
      <c r="E621" s="44"/>
    </row>
    <row r="622">
      <c r="E622" s="44"/>
    </row>
    <row r="623">
      <c r="E623" s="44"/>
    </row>
    <row r="624">
      <c r="E624" s="44"/>
    </row>
    <row r="625">
      <c r="E625" s="44"/>
    </row>
    <row r="626">
      <c r="E626" s="44"/>
    </row>
    <row r="627">
      <c r="E627" s="44"/>
    </row>
    <row r="628">
      <c r="E628" s="44"/>
    </row>
    <row r="629">
      <c r="E629" s="44"/>
    </row>
    <row r="630">
      <c r="E630" s="44"/>
    </row>
    <row r="631">
      <c r="E631" s="44"/>
    </row>
    <row r="632">
      <c r="E632" s="44"/>
    </row>
    <row r="633">
      <c r="E633" s="44"/>
    </row>
    <row r="634">
      <c r="E634" s="44"/>
    </row>
    <row r="635">
      <c r="E635" s="44"/>
    </row>
    <row r="636">
      <c r="E636" s="44"/>
    </row>
    <row r="637">
      <c r="E637" s="44"/>
    </row>
    <row r="638">
      <c r="E638" s="44"/>
    </row>
    <row r="639">
      <c r="E639" s="44"/>
    </row>
    <row r="640">
      <c r="E640" s="44"/>
    </row>
    <row r="641">
      <c r="E641" s="44"/>
    </row>
    <row r="642">
      <c r="E642" s="44"/>
    </row>
    <row r="643">
      <c r="E643" s="44"/>
    </row>
    <row r="644">
      <c r="E644" s="44"/>
    </row>
    <row r="645">
      <c r="E645" s="44"/>
    </row>
    <row r="646">
      <c r="E646" s="44"/>
    </row>
    <row r="647">
      <c r="E647" s="44"/>
    </row>
    <row r="648">
      <c r="E648" s="44"/>
    </row>
    <row r="649">
      <c r="E649" s="44"/>
    </row>
    <row r="650">
      <c r="E650" s="44"/>
    </row>
    <row r="651">
      <c r="E651" s="44"/>
    </row>
    <row r="652">
      <c r="E652" s="44"/>
    </row>
    <row r="653">
      <c r="E653" s="44"/>
    </row>
    <row r="654">
      <c r="E654" s="44"/>
    </row>
    <row r="655">
      <c r="E655" s="44"/>
    </row>
    <row r="656">
      <c r="E656" s="44"/>
    </row>
    <row r="657">
      <c r="E657" s="44"/>
    </row>
    <row r="658">
      <c r="E658" s="44"/>
    </row>
    <row r="659">
      <c r="E659" s="44"/>
    </row>
    <row r="660">
      <c r="E660" s="44"/>
    </row>
    <row r="661">
      <c r="E661" s="44"/>
    </row>
    <row r="662">
      <c r="E662" s="44"/>
    </row>
    <row r="663">
      <c r="E663" s="44"/>
    </row>
    <row r="664">
      <c r="E664" s="44"/>
    </row>
    <row r="665">
      <c r="E665" s="44"/>
    </row>
    <row r="666">
      <c r="E666" s="44"/>
    </row>
    <row r="667">
      <c r="E667" s="44"/>
    </row>
    <row r="668">
      <c r="E668" s="44"/>
    </row>
    <row r="669">
      <c r="E669" s="44"/>
    </row>
    <row r="670">
      <c r="E670" s="44"/>
    </row>
    <row r="671">
      <c r="E671" s="44"/>
    </row>
    <row r="672">
      <c r="E672" s="44"/>
    </row>
    <row r="673">
      <c r="E673" s="44"/>
    </row>
    <row r="674">
      <c r="E674" s="44"/>
    </row>
    <row r="675">
      <c r="E675" s="44"/>
    </row>
    <row r="676">
      <c r="E676" s="44"/>
    </row>
    <row r="677">
      <c r="E677" s="44"/>
    </row>
    <row r="678">
      <c r="E678" s="44"/>
    </row>
    <row r="679">
      <c r="E679" s="44"/>
    </row>
    <row r="680">
      <c r="E680" s="44"/>
    </row>
    <row r="681">
      <c r="E681" s="44"/>
    </row>
    <row r="682">
      <c r="E682" s="44"/>
    </row>
    <row r="683">
      <c r="E683" s="44"/>
    </row>
    <row r="684">
      <c r="E684" s="44"/>
    </row>
    <row r="685">
      <c r="E685" s="44"/>
    </row>
    <row r="686">
      <c r="E686" s="44"/>
    </row>
    <row r="687">
      <c r="E687" s="44"/>
    </row>
    <row r="688">
      <c r="E688" s="44"/>
    </row>
    <row r="689">
      <c r="E689" s="44"/>
    </row>
    <row r="690">
      <c r="E690" s="44"/>
    </row>
    <row r="691">
      <c r="E691" s="44"/>
    </row>
    <row r="692">
      <c r="E692" s="44"/>
    </row>
    <row r="693">
      <c r="E693" s="44"/>
    </row>
    <row r="694">
      <c r="E694" s="44"/>
    </row>
    <row r="695">
      <c r="E695" s="44"/>
    </row>
    <row r="696">
      <c r="E696" s="44"/>
    </row>
    <row r="697">
      <c r="E697" s="44"/>
    </row>
    <row r="698">
      <c r="E698" s="44"/>
    </row>
    <row r="699">
      <c r="E699" s="44"/>
    </row>
    <row r="700">
      <c r="E700" s="44"/>
    </row>
    <row r="701">
      <c r="E701" s="44"/>
    </row>
    <row r="702">
      <c r="E702" s="44"/>
    </row>
    <row r="703">
      <c r="E703" s="44"/>
    </row>
    <row r="704">
      <c r="E704" s="44"/>
    </row>
    <row r="705">
      <c r="E705" s="44"/>
    </row>
    <row r="706">
      <c r="E706" s="44"/>
    </row>
    <row r="707">
      <c r="E707" s="44"/>
    </row>
    <row r="708">
      <c r="E708" s="44"/>
    </row>
    <row r="709">
      <c r="E709" s="44"/>
    </row>
    <row r="710">
      <c r="E710" s="44"/>
    </row>
    <row r="711">
      <c r="E711" s="44"/>
    </row>
    <row r="712">
      <c r="E712" s="44"/>
    </row>
    <row r="713">
      <c r="E713" s="44"/>
    </row>
    <row r="714">
      <c r="E714" s="44"/>
    </row>
    <row r="715">
      <c r="E715" s="44"/>
    </row>
    <row r="716">
      <c r="E716" s="44"/>
    </row>
    <row r="717">
      <c r="E717" s="44"/>
    </row>
    <row r="718">
      <c r="E718" s="44"/>
    </row>
    <row r="719">
      <c r="E719" s="44"/>
    </row>
    <row r="720">
      <c r="E720" s="44"/>
    </row>
    <row r="721">
      <c r="E721" s="44"/>
    </row>
    <row r="722">
      <c r="E722" s="44"/>
    </row>
    <row r="723">
      <c r="E723" s="44"/>
    </row>
    <row r="724">
      <c r="E724" s="44"/>
    </row>
    <row r="725">
      <c r="E725" s="44"/>
    </row>
    <row r="726">
      <c r="E726" s="44"/>
    </row>
    <row r="727">
      <c r="E727" s="44"/>
    </row>
    <row r="728">
      <c r="E728" s="44"/>
    </row>
    <row r="729">
      <c r="E729" s="44"/>
    </row>
    <row r="730">
      <c r="E730" s="44"/>
    </row>
    <row r="731">
      <c r="E731" s="44"/>
    </row>
    <row r="732">
      <c r="E732" s="44"/>
    </row>
    <row r="733">
      <c r="E733" s="44"/>
    </row>
    <row r="734">
      <c r="E734" s="44"/>
    </row>
    <row r="735">
      <c r="E735" s="44"/>
    </row>
    <row r="736">
      <c r="E736" s="44"/>
    </row>
    <row r="737">
      <c r="E737" s="44"/>
    </row>
    <row r="738">
      <c r="E738" s="44"/>
    </row>
    <row r="739">
      <c r="E739" s="44"/>
    </row>
    <row r="740">
      <c r="E740" s="44"/>
    </row>
    <row r="741">
      <c r="E741" s="44"/>
    </row>
    <row r="742">
      <c r="E742" s="44"/>
    </row>
    <row r="743">
      <c r="E743" s="44"/>
    </row>
    <row r="744">
      <c r="E744" s="44"/>
    </row>
    <row r="745">
      <c r="E745" s="44"/>
    </row>
    <row r="746">
      <c r="E746" s="44"/>
    </row>
    <row r="747">
      <c r="E747" s="44"/>
    </row>
    <row r="748">
      <c r="E748" s="44"/>
    </row>
    <row r="749">
      <c r="E749" s="44"/>
    </row>
    <row r="750">
      <c r="E750" s="44"/>
    </row>
    <row r="751">
      <c r="E751" s="44"/>
    </row>
    <row r="752">
      <c r="E752" s="44"/>
    </row>
    <row r="753">
      <c r="E753" s="44"/>
    </row>
    <row r="754">
      <c r="E754" s="44"/>
    </row>
    <row r="755">
      <c r="E755" s="44"/>
    </row>
    <row r="756">
      <c r="E756" s="44"/>
    </row>
    <row r="757">
      <c r="E757" s="44"/>
    </row>
    <row r="758">
      <c r="E758" s="44"/>
    </row>
    <row r="759">
      <c r="E759" s="44"/>
    </row>
    <row r="760">
      <c r="E760" s="44"/>
    </row>
    <row r="761">
      <c r="E761" s="44"/>
    </row>
    <row r="762">
      <c r="E762" s="44"/>
    </row>
    <row r="763">
      <c r="E763" s="44"/>
    </row>
    <row r="764">
      <c r="E764" s="44"/>
    </row>
    <row r="765">
      <c r="E765" s="44"/>
    </row>
    <row r="766">
      <c r="E766" s="44"/>
    </row>
    <row r="767">
      <c r="E767" s="44"/>
    </row>
    <row r="768">
      <c r="E768" s="44"/>
    </row>
    <row r="769">
      <c r="E769" s="44"/>
    </row>
    <row r="770">
      <c r="E770" s="44"/>
    </row>
    <row r="771">
      <c r="E771" s="44"/>
    </row>
    <row r="772">
      <c r="E772" s="44"/>
    </row>
    <row r="773">
      <c r="E773" s="44"/>
    </row>
    <row r="774">
      <c r="E774" s="44"/>
    </row>
    <row r="775">
      <c r="E775" s="44"/>
    </row>
    <row r="776">
      <c r="E776" s="44"/>
    </row>
    <row r="777">
      <c r="E777" s="44"/>
    </row>
    <row r="778">
      <c r="E778" s="44"/>
    </row>
    <row r="779">
      <c r="E779" s="44"/>
    </row>
    <row r="780">
      <c r="E780" s="44"/>
    </row>
    <row r="781">
      <c r="E781" s="44"/>
    </row>
    <row r="782">
      <c r="E782" s="44"/>
    </row>
    <row r="783">
      <c r="E783" s="44"/>
    </row>
    <row r="784">
      <c r="E784" s="44"/>
    </row>
    <row r="785">
      <c r="E785" s="44"/>
    </row>
    <row r="786">
      <c r="E786" s="44"/>
    </row>
    <row r="787">
      <c r="E787" s="44"/>
    </row>
    <row r="788">
      <c r="E788" s="44"/>
    </row>
    <row r="789">
      <c r="E789" s="44"/>
    </row>
    <row r="790">
      <c r="E790" s="44"/>
    </row>
    <row r="791">
      <c r="E791" s="44"/>
    </row>
    <row r="792">
      <c r="E792" s="44"/>
    </row>
    <row r="793">
      <c r="E793" s="44"/>
    </row>
    <row r="794">
      <c r="E794" s="44"/>
    </row>
    <row r="795">
      <c r="E795" s="44"/>
    </row>
    <row r="796">
      <c r="E796" s="44"/>
    </row>
    <row r="797">
      <c r="E797" s="44"/>
    </row>
    <row r="798">
      <c r="E798" s="44"/>
    </row>
    <row r="799">
      <c r="E799" s="44"/>
    </row>
    <row r="800">
      <c r="E800" s="44"/>
    </row>
    <row r="801">
      <c r="E801" s="44"/>
    </row>
    <row r="802">
      <c r="E802" s="44"/>
    </row>
    <row r="803">
      <c r="E803" s="44"/>
    </row>
    <row r="804">
      <c r="E804" s="44"/>
    </row>
    <row r="805">
      <c r="E805" s="44"/>
    </row>
    <row r="806">
      <c r="E806" s="44"/>
    </row>
    <row r="807">
      <c r="E807" s="44"/>
    </row>
    <row r="808">
      <c r="E808" s="44"/>
    </row>
    <row r="809">
      <c r="E809" s="44"/>
    </row>
    <row r="810">
      <c r="E810" s="44"/>
    </row>
    <row r="811">
      <c r="E811" s="44"/>
    </row>
    <row r="812">
      <c r="E812" s="44"/>
    </row>
    <row r="813">
      <c r="E813" s="44"/>
    </row>
    <row r="814">
      <c r="E814" s="44"/>
    </row>
    <row r="815">
      <c r="E815" s="44"/>
    </row>
    <row r="816">
      <c r="E816" s="44"/>
    </row>
    <row r="817">
      <c r="E817" s="44"/>
    </row>
    <row r="818">
      <c r="E818" s="44"/>
    </row>
    <row r="819">
      <c r="E819" s="44"/>
    </row>
    <row r="820">
      <c r="E820" s="44"/>
    </row>
    <row r="821">
      <c r="E821" s="44"/>
    </row>
    <row r="822">
      <c r="E822" s="44"/>
    </row>
    <row r="823">
      <c r="E823" s="44"/>
    </row>
    <row r="824">
      <c r="E824" s="44"/>
    </row>
    <row r="825">
      <c r="E825" s="44"/>
    </row>
    <row r="826">
      <c r="E826" s="44"/>
    </row>
    <row r="827">
      <c r="E827" s="44"/>
    </row>
    <row r="828">
      <c r="E828" s="44"/>
    </row>
    <row r="829">
      <c r="E829" s="44"/>
    </row>
    <row r="830">
      <c r="E830" s="44"/>
    </row>
    <row r="831">
      <c r="E831" s="44"/>
    </row>
    <row r="832">
      <c r="E832" s="44"/>
    </row>
    <row r="833">
      <c r="E833" s="44"/>
    </row>
    <row r="834">
      <c r="E834" s="44"/>
    </row>
    <row r="835">
      <c r="E835" s="44"/>
    </row>
    <row r="836">
      <c r="E836" s="44"/>
    </row>
    <row r="837">
      <c r="E837" s="44"/>
    </row>
    <row r="838">
      <c r="E838" s="44"/>
    </row>
    <row r="839">
      <c r="E839" s="44"/>
    </row>
    <row r="840">
      <c r="E840" s="44"/>
    </row>
    <row r="841">
      <c r="E841" s="44"/>
    </row>
    <row r="842">
      <c r="E842" s="44"/>
    </row>
    <row r="843">
      <c r="E843" s="44"/>
    </row>
    <row r="844">
      <c r="E844" s="44"/>
    </row>
    <row r="845">
      <c r="E845" s="44"/>
    </row>
    <row r="846">
      <c r="E846" s="44"/>
    </row>
    <row r="847">
      <c r="E847" s="44"/>
    </row>
    <row r="848">
      <c r="E848" s="44"/>
    </row>
    <row r="849">
      <c r="E849" s="44"/>
    </row>
    <row r="850">
      <c r="E850" s="44"/>
    </row>
    <row r="851">
      <c r="E851" s="44"/>
    </row>
    <row r="852">
      <c r="E852" s="44"/>
    </row>
    <row r="853">
      <c r="E853" s="44"/>
    </row>
    <row r="854">
      <c r="E854" s="44"/>
    </row>
    <row r="855">
      <c r="E855" s="44"/>
    </row>
    <row r="856">
      <c r="E856" s="44"/>
    </row>
    <row r="857">
      <c r="E857" s="44"/>
    </row>
    <row r="858">
      <c r="E858" s="44"/>
    </row>
    <row r="859">
      <c r="E859" s="44"/>
    </row>
    <row r="860">
      <c r="E860" s="44"/>
    </row>
    <row r="861">
      <c r="E861" s="44"/>
    </row>
    <row r="862">
      <c r="E862" s="44"/>
    </row>
    <row r="863">
      <c r="E863" s="44"/>
    </row>
    <row r="864">
      <c r="E864" s="44"/>
    </row>
    <row r="865">
      <c r="E865" s="44"/>
    </row>
    <row r="866">
      <c r="E866" s="44"/>
    </row>
    <row r="867">
      <c r="E867" s="44"/>
    </row>
    <row r="868">
      <c r="E868" s="44"/>
    </row>
    <row r="869">
      <c r="E869" s="44"/>
    </row>
    <row r="870">
      <c r="E870" s="44"/>
    </row>
    <row r="871">
      <c r="E871" s="44"/>
    </row>
    <row r="872">
      <c r="E872" s="44"/>
    </row>
    <row r="873">
      <c r="E873" s="44"/>
    </row>
    <row r="874">
      <c r="E874" s="44"/>
    </row>
    <row r="875">
      <c r="E875" s="44"/>
    </row>
    <row r="876">
      <c r="E876" s="44"/>
    </row>
    <row r="877">
      <c r="E877" s="44"/>
    </row>
    <row r="878">
      <c r="E878" s="44"/>
    </row>
    <row r="879">
      <c r="E879" s="44"/>
    </row>
    <row r="880">
      <c r="E880" s="44"/>
    </row>
    <row r="881">
      <c r="E881" s="44"/>
    </row>
    <row r="882">
      <c r="E882" s="44"/>
    </row>
    <row r="883">
      <c r="E883" s="44"/>
    </row>
    <row r="884">
      <c r="E884" s="44"/>
    </row>
    <row r="885">
      <c r="E885" s="44"/>
    </row>
    <row r="886">
      <c r="E886" s="44"/>
    </row>
    <row r="887">
      <c r="E887" s="44"/>
    </row>
    <row r="888">
      <c r="E888" s="44"/>
    </row>
    <row r="889">
      <c r="E889" s="44"/>
    </row>
    <row r="890">
      <c r="E890" s="44"/>
    </row>
    <row r="891">
      <c r="E891" s="44"/>
    </row>
    <row r="892">
      <c r="E892" s="44"/>
    </row>
    <row r="893">
      <c r="E893" s="44"/>
    </row>
    <row r="894">
      <c r="E894" s="44"/>
    </row>
    <row r="895">
      <c r="E895" s="44"/>
    </row>
    <row r="896">
      <c r="E896" s="44"/>
    </row>
    <row r="897">
      <c r="E897" s="44"/>
    </row>
    <row r="898">
      <c r="E898" s="44"/>
    </row>
    <row r="899">
      <c r="E899" s="44"/>
    </row>
    <row r="900">
      <c r="E900" s="44"/>
    </row>
    <row r="901">
      <c r="E901" s="44"/>
    </row>
    <row r="902">
      <c r="E902" s="44"/>
    </row>
    <row r="903">
      <c r="E903" s="44"/>
    </row>
    <row r="904">
      <c r="E904" s="44"/>
    </row>
    <row r="905">
      <c r="E905" s="44"/>
    </row>
    <row r="906">
      <c r="E906" s="44"/>
    </row>
    <row r="907">
      <c r="E907" s="44"/>
    </row>
    <row r="908">
      <c r="E908" s="44"/>
    </row>
    <row r="909">
      <c r="E909" s="44"/>
    </row>
    <row r="910">
      <c r="E910" s="44"/>
    </row>
    <row r="911">
      <c r="E911" s="44"/>
    </row>
    <row r="912">
      <c r="E912" s="44"/>
    </row>
    <row r="913">
      <c r="E913" s="44"/>
    </row>
    <row r="914">
      <c r="E914" s="44"/>
    </row>
    <row r="915">
      <c r="E915" s="44"/>
    </row>
    <row r="916">
      <c r="E916" s="44"/>
    </row>
    <row r="917">
      <c r="E917" s="44"/>
    </row>
    <row r="918">
      <c r="E918" s="44"/>
    </row>
    <row r="919">
      <c r="E919" s="44"/>
    </row>
    <row r="920">
      <c r="E920" s="44"/>
    </row>
    <row r="921">
      <c r="E921" s="44"/>
    </row>
    <row r="922">
      <c r="E922" s="44"/>
    </row>
    <row r="923">
      <c r="E923" s="44"/>
    </row>
    <row r="924">
      <c r="E924" s="44"/>
    </row>
    <row r="925">
      <c r="E925" s="44"/>
    </row>
    <row r="926">
      <c r="E926" s="44"/>
    </row>
    <row r="927">
      <c r="E927" s="44"/>
    </row>
    <row r="928">
      <c r="E928" s="44"/>
    </row>
    <row r="929">
      <c r="E929" s="44"/>
    </row>
    <row r="930">
      <c r="E930" s="44"/>
    </row>
    <row r="931">
      <c r="E931" s="44"/>
    </row>
    <row r="932">
      <c r="E932" s="44"/>
    </row>
    <row r="933">
      <c r="E933" s="44"/>
    </row>
    <row r="934">
      <c r="E934" s="44"/>
    </row>
    <row r="935">
      <c r="E935" s="44"/>
    </row>
    <row r="936">
      <c r="E936" s="44"/>
    </row>
    <row r="937">
      <c r="E937" s="44"/>
    </row>
    <row r="938">
      <c r="E938" s="44"/>
    </row>
    <row r="939">
      <c r="E939" s="44"/>
    </row>
    <row r="940">
      <c r="E940" s="44"/>
    </row>
    <row r="941">
      <c r="E941" s="44"/>
    </row>
    <row r="942">
      <c r="E942" s="44"/>
    </row>
    <row r="943">
      <c r="E943" s="44"/>
    </row>
    <row r="944">
      <c r="E944" s="44"/>
    </row>
    <row r="945">
      <c r="E945" s="44"/>
    </row>
    <row r="946">
      <c r="E946" s="44"/>
    </row>
    <row r="947">
      <c r="E947" s="44"/>
    </row>
    <row r="948">
      <c r="E948" s="44"/>
    </row>
    <row r="949">
      <c r="E949" s="44"/>
    </row>
    <row r="950">
      <c r="E950" s="44"/>
    </row>
    <row r="951">
      <c r="E951" s="44"/>
    </row>
    <row r="952">
      <c r="E952" s="44"/>
    </row>
    <row r="953">
      <c r="E953" s="44"/>
    </row>
    <row r="954">
      <c r="E954" s="44"/>
    </row>
    <row r="955">
      <c r="E955" s="44"/>
    </row>
    <row r="956">
      <c r="E956" s="44"/>
    </row>
    <row r="957">
      <c r="E957" s="44"/>
    </row>
    <row r="958">
      <c r="E958" s="44"/>
    </row>
    <row r="959">
      <c r="E959" s="44"/>
    </row>
    <row r="960">
      <c r="E960" s="44"/>
    </row>
    <row r="961">
      <c r="E961" s="44"/>
    </row>
    <row r="962">
      <c r="E962" s="44"/>
    </row>
    <row r="963">
      <c r="E963" s="44"/>
    </row>
    <row r="964">
      <c r="E964" s="44"/>
    </row>
    <row r="965">
      <c r="E965" s="44"/>
    </row>
    <row r="966">
      <c r="E966" s="44"/>
    </row>
    <row r="967">
      <c r="E967" s="44"/>
    </row>
    <row r="968">
      <c r="E968" s="44"/>
    </row>
    <row r="969">
      <c r="E969" s="44"/>
    </row>
    <row r="970">
      <c r="E970" s="44"/>
    </row>
    <row r="971">
      <c r="E971" s="44"/>
    </row>
    <row r="972">
      <c r="E972" s="44"/>
    </row>
    <row r="973">
      <c r="E973" s="44"/>
    </row>
    <row r="974">
      <c r="E974" s="44"/>
    </row>
    <row r="975">
      <c r="E975" s="44"/>
    </row>
    <row r="976">
      <c r="E976" s="44"/>
    </row>
    <row r="977">
      <c r="E977" s="44"/>
    </row>
    <row r="978">
      <c r="E978" s="44"/>
    </row>
    <row r="979">
      <c r="E979" s="44"/>
    </row>
    <row r="980">
      <c r="E980" s="44"/>
    </row>
    <row r="981">
      <c r="E981" s="44"/>
    </row>
    <row r="982">
      <c r="E982" s="44"/>
    </row>
    <row r="983">
      <c r="E983" s="44"/>
    </row>
    <row r="984">
      <c r="E984" s="44"/>
    </row>
    <row r="985">
      <c r="E985" s="44"/>
    </row>
    <row r="986">
      <c r="E986" s="44"/>
    </row>
    <row r="987">
      <c r="E987" s="44"/>
    </row>
    <row r="988">
      <c r="E988" s="44"/>
    </row>
    <row r="989">
      <c r="E989" s="44"/>
    </row>
    <row r="990">
      <c r="E990" s="44"/>
    </row>
    <row r="991">
      <c r="E991" s="44"/>
    </row>
    <row r="992">
      <c r="E992" s="44"/>
    </row>
    <row r="993">
      <c r="E993" s="44"/>
    </row>
    <row r="994">
      <c r="E994" s="44"/>
    </row>
    <row r="995">
      <c r="E995" s="44"/>
    </row>
    <row r="996">
      <c r="E996" s="44"/>
    </row>
    <row r="997">
      <c r="E997" s="44"/>
    </row>
    <row r="998">
      <c r="E998" s="44"/>
    </row>
    <row r="999">
      <c r="E999" s="44"/>
    </row>
    <row r="1000">
      <c r="E1000" s="44"/>
    </row>
  </sheetData>
  <hyperlinks>
    <hyperlink r:id="rId1" location="Person" ref="D2"/>
    <hyperlink r:id="rId2" location="Notebook" ref="E2"/>
    <hyperlink r:id="rId3" ref="T2"/>
    <hyperlink r:id="rId4" ref="AB2"/>
    <hyperlink r:id="rId5" location="Person" ref="D3"/>
    <hyperlink r:id="rId6" location="Notebook" ref="E3"/>
    <hyperlink r:id="rId7" ref="M3"/>
    <hyperlink r:id="rId8" ref="T3"/>
    <hyperlink r:id="rId9" ref="AB3"/>
    <hyperlink r:id="rId10" location="Person" ref="D4"/>
    <hyperlink r:id="rId11" location="Notebook" ref="E4"/>
    <hyperlink r:id="rId12" ref="T4"/>
    <hyperlink r:id="rId13" ref="AB4"/>
    <hyperlink r:id="rId14" location="Person" ref="D5"/>
    <hyperlink r:id="rId15" location="Notebook" ref="E5"/>
    <hyperlink r:id="rId16" ref="T5"/>
    <hyperlink r:id="rId17" ref="AB5"/>
  </hyperlinks>
  <drawing r:id="rId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36.5"/>
  </cols>
  <sheetData>
    <row r="1">
      <c r="A1" s="42" t="s">
        <v>2</v>
      </c>
      <c r="B1" s="42" t="s">
        <v>6</v>
      </c>
      <c r="C1" s="42" t="s">
        <v>4</v>
      </c>
    </row>
    <row r="2">
      <c r="A2" s="45" t="s">
        <v>301</v>
      </c>
      <c r="B2" s="46" t="s">
        <v>302</v>
      </c>
      <c r="C2" s="42" t="s">
        <v>303</v>
      </c>
    </row>
    <row r="3">
      <c r="A3" s="45" t="s">
        <v>304</v>
      </c>
      <c r="B3" s="5" t="s">
        <v>305</v>
      </c>
      <c r="C3" s="42" t="s">
        <v>303</v>
      </c>
    </row>
    <row r="4">
      <c r="A4" s="42" t="s">
        <v>306</v>
      </c>
      <c r="B4" s="47" t="s">
        <v>307</v>
      </c>
      <c r="C4" s="42" t="s">
        <v>303</v>
      </c>
    </row>
    <row r="5">
      <c r="A5" s="36" t="s">
        <v>308</v>
      </c>
      <c r="B5" s="42" t="s">
        <v>309</v>
      </c>
      <c r="C5" s="42" t="s">
        <v>303</v>
      </c>
    </row>
    <row r="6">
      <c r="A6" s="48"/>
    </row>
  </sheetData>
  <hyperlinks>
    <hyperlink r:id="rId1" ref="B4"/>
  </hyperlinks>
  <drawing r:id="rId2"/>
</worksheet>
</file>